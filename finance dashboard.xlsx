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C\Desktop\CODING &amp; DESIGN JOURNEY\PROTFOLIO PROJECTS\Financial Health Dashboard\"/>
    </mc:Choice>
  </mc:AlternateContent>
  <xr:revisionPtr revIDLastSave="0" documentId="13_ncr:1_{CAB9A5F8-8D6F-4FCD-8AEA-374CF6E8044A}" xr6:coauthVersionLast="47" xr6:coauthVersionMax="47" xr10:uidLastSave="{00000000-0000-0000-0000-000000000000}"/>
  <bookViews>
    <workbookView xWindow="-110" yWindow="-110" windowWidth="19420" windowHeight="11020" xr2:uid="{D13013AD-E9A7-4291-9FBB-370C4D2D85E4}"/>
  </bookViews>
  <sheets>
    <sheet name="DashBoard" sheetId="1" r:id="rId1"/>
    <sheet name="Income statement" sheetId="4" r:id="rId2"/>
    <sheet name="Balance Sheet" sheetId="6" r:id="rId3"/>
    <sheet name="Cashflow" sheetId="7" r:id="rId4"/>
    <sheet name="Calculations" sheetId="2" r:id="rId5"/>
  </sheets>
  <definedNames>
    <definedName name="ExternalData_1" localSheetId="1" hidden="1">'Income statement'!$B$3:$D$23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3" i="2"/>
  <c r="G4" i="2"/>
  <c r="G5" i="2"/>
  <c r="G6" i="2"/>
  <c r="G7" i="2"/>
  <c r="G8" i="2"/>
  <c r="G9" i="2"/>
  <c r="G10" i="2"/>
  <c r="G3" i="2"/>
  <c r="F4" i="2"/>
  <c r="F5" i="2"/>
  <c r="H5" i="2" s="1"/>
  <c r="F6" i="2"/>
  <c r="F7" i="2"/>
  <c r="F8" i="2"/>
  <c r="H8" i="2" s="1"/>
  <c r="O30" i="1" s="1"/>
  <c r="F9" i="2"/>
  <c r="F10" i="2"/>
  <c r="F3" i="2"/>
  <c r="E10" i="2"/>
  <c r="E4" i="2"/>
  <c r="E5" i="2"/>
  <c r="E6" i="2"/>
  <c r="E7" i="2"/>
  <c r="E8" i="2"/>
  <c r="E9" i="2"/>
  <c r="E3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H4" i="2" s="1"/>
  <c r="D3" i="2"/>
  <c r="C3" i="2"/>
  <c r="U26" i="1"/>
  <c r="C21" i="1"/>
  <c r="C11" i="1"/>
  <c r="C3" i="1"/>
  <c r="D21" i="6"/>
  <c r="D22" i="6" s="1"/>
  <c r="E50" i="6"/>
  <c r="D50" i="6"/>
  <c r="E49" i="6"/>
  <c r="D49" i="6"/>
  <c r="E43" i="6"/>
  <c r="D43" i="6"/>
  <c r="E33" i="6"/>
  <c r="E35" i="6" s="1"/>
  <c r="E51" i="6" s="1"/>
  <c r="D33" i="6"/>
  <c r="D35" i="6" s="1"/>
  <c r="D51" i="6" s="1"/>
  <c r="E22" i="6"/>
  <c r="E21" i="6"/>
  <c r="E14" i="6"/>
  <c r="D14" i="6"/>
  <c r="L21" i="1"/>
  <c r="H3" i="2" l="1"/>
  <c r="H6" i="2"/>
  <c r="AG19" i="1" s="1"/>
  <c r="H9" i="2"/>
  <c r="H10" i="2"/>
  <c r="H7" i="2"/>
  <c r="F30" i="1" s="1"/>
  <c r="L15" i="1"/>
  <c r="L26" i="1"/>
  <c r="C32" i="1"/>
  <c r="Q26" i="1"/>
  <c r="C15" i="1"/>
  <c r="L32" i="1"/>
  <c r="U32" i="1"/>
  <c r="AD32" i="1"/>
  <c r="U15" i="1"/>
  <c r="U21" i="1"/>
  <c r="AD15" i="1"/>
  <c r="AD21" i="1"/>
  <c r="C26" i="1"/>
  <c r="AG30" i="1"/>
  <c r="X30" i="1"/>
  <c r="F19" i="1"/>
  <c r="O19" i="1"/>
  <c r="X19" i="1"/>
  <c r="AI15" i="1"/>
  <c r="AD26" i="1"/>
  <c r="H15" i="1"/>
  <c r="D55" i="6"/>
  <c r="E55" i="6"/>
  <c r="Q15" i="1" l="1"/>
  <c r="I15" i="2"/>
  <c r="AG6" i="1" s="1"/>
  <c r="I16" i="2"/>
  <c r="I17" i="2"/>
  <c r="Z26" i="1"/>
  <c r="Z15" i="1"/>
  <c r="AI26" i="1"/>
  <c r="H26" i="1"/>
  <c r="V6" i="1" l="1"/>
  <c r="D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043B5A-2B09-4C4E-8EF3-278AF1E3C31C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2" xr16:uid="{DDE8F353-26A8-41D7-AF1D-C625315AE23C}" keepAlive="1" name="Query - Page003" description="Connection to the 'Page003' query in the workbook." type="5" refreshedVersion="8" background="1" saveData="1">
    <dbPr connection="Provider=Microsoft.Mashup.OleDb.1;Data Source=$Workbook$;Location=Page003;Extended Properties=&quot;&quot;" command="SELECT * FROM [Page003]"/>
  </connection>
</connections>
</file>

<file path=xl/sharedStrings.xml><?xml version="1.0" encoding="utf-8"?>
<sst xmlns="http://schemas.openxmlformats.org/spreadsheetml/2006/main" count="201" uniqueCount="150">
  <si>
    <t>Overall Status</t>
  </si>
  <si>
    <t>Excellent</t>
  </si>
  <si>
    <t>Metrics Above Target</t>
  </si>
  <si>
    <t>Metrics Below Target</t>
  </si>
  <si>
    <t>Status:</t>
  </si>
  <si>
    <t>Sales</t>
  </si>
  <si>
    <t>Total Income</t>
  </si>
  <si>
    <t>Metric</t>
  </si>
  <si>
    <t>Comparison</t>
  </si>
  <si>
    <t>Variance</t>
  </si>
  <si>
    <t>Critical</t>
  </si>
  <si>
    <t>Good</t>
  </si>
  <si>
    <t>Status</t>
  </si>
  <si>
    <t>Explaination</t>
  </si>
  <si>
    <t>Gross Margin</t>
  </si>
  <si>
    <t>Operating Margin</t>
  </si>
  <si>
    <t>Net Margin</t>
  </si>
  <si>
    <t>Current</t>
  </si>
  <si>
    <t>Gross Profit/Revenue</t>
  </si>
  <si>
    <t>Net Operating Income/Revenue</t>
  </si>
  <si>
    <t>Net Income/Revenue</t>
  </si>
  <si>
    <t>Current Period</t>
  </si>
  <si>
    <t>Comparison Period</t>
  </si>
  <si>
    <t>Title</t>
  </si>
  <si>
    <t>Period</t>
  </si>
  <si>
    <t>Critical Count</t>
  </si>
  <si>
    <t>status</t>
  </si>
  <si>
    <t>Count</t>
  </si>
  <si>
    <t>FORMULA</t>
  </si>
  <si>
    <t>LET(val, XLOOKUP(C14,Calculations!B3:B10,Calculations!C3:C10,0,0),
  IF(ABS(val)&gt;1.1, TEXT(val, "$#,##0;($#,##0)"),
  IF(AND(ABS(val)&lt;1, ABS(val)&gt;0.001), TEXT(val, "0.0%;(0.0%)"),
  TEXT(val, "0.00;(0.00)"))))</t>
  </si>
  <si>
    <t>ADD THE CORRECT XLOOKUP</t>
  </si>
  <si>
    <t>NOTE:</t>
  </si>
  <si>
    <t xml:space="preserve">Working Capital </t>
  </si>
  <si>
    <t>Current Assets-Current Liability</t>
  </si>
  <si>
    <t>Net Income</t>
  </si>
  <si>
    <t>Cashflow From Operations</t>
  </si>
  <si>
    <t>Income Statement</t>
  </si>
  <si>
    <t>December 2025</t>
  </si>
  <si>
    <t>December 2024</t>
  </si>
  <si>
    <t>Revenue from contracts with customers</t>
  </si>
  <si>
    <t>Cost of sales</t>
  </si>
  <si>
    <t>Gross profit</t>
  </si>
  <si>
    <t>General and administrative expenses</t>
  </si>
  <si>
    <t>Net impairment loss of financial assets</t>
  </si>
  <si>
    <t>Fair value gain on financial assets at FVTPL</t>
  </si>
  <si>
    <t>Gain on previously held equity interest in joint venture</t>
  </si>
  <si>
    <t>Reversal of impairment losses</t>
  </si>
  <si>
    <t>Other income</t>
  </si>
  <si>
    <t>Operating profit</t>
  </si>
  <si>
    <t>Finance income</t>
  </si>
  <si>
    <t>Finance costs</t>
  </si>
  <si>
    <t>Finance costs-net</t>
  </si>
  <si>
    <t>Share of profit from associates</t>
  </si>
  <si>
    <t>Share of profit from joint ventures</t>
  </si>
  <si>
    <t>Profit before income tax</t>
  </si>
  <si>
    <t>Income tax</t>
  </si>
  <si>
    <t>Profit for the year</t>
  </si>
  <si>
    <t>Attributable to:
Equity holders of the parent</t>
  </si>
  <si>
    <t>Non-controlling interests</t>
  </si>
  <si>
    <t>Depreciation of right-of-use assets</t>
  </si>
  <si>
    <t>Provision for impairment loss of financial assets</t>
  </si>
  <si>
    <t>Reversal of impairment loss</t>
  </si>
  <si>
    <t>Provision for employees’ end of service benefits</t>
  </si>
  <si>
    <t>Loss/(gain) on disposal of property and equipment</t>
  </si>
  <si>
    <t>Slow moving inventory provision</t>
  </si>
  <si>
    <t>Gain on bargain purchase</t>
  </si>
  <si>
    <t>Amortisation of intangible assets</t>
  </si>
  <si>
    <t>Amortisation of franchise fee</t>
  </si>
  <si>
    <t>Payment of employees’ end of service benefits</t>
  </si>
  <si>
    <t>Income tax paid</t>
  </si>
  <si>
    <t>Trade and other receivables</t>
  </si>
  <si>
    <t>Trade and other payables</t>
  </si>
  <si>
    <t>Net cash generated from operating activities</t>
  </si>
  <si>
    <t>Proceeds from disposal of property and equipment</t>
  </si>
  <si>
    <t>Proceeds from disposal of financial assets at FVTPL</t>
  </si>
  <si>
    <t>Payment for acquisition of a joint venture</t>
  </si>
  <si>
    <t>Finance income received</t>
  </si>
  <si>
    <t>Balance Sheet</t>
  </si>
  <si>
    <t xml:space="preserve">ASSETS </t>
  </si>
  <si>
    <t>Non-current assets</t>
  </si>
  <si>
    <t xml:space="preserve">Property and equipment </t>
  </si>
  <si>
    <t xml:space="preserve">Right-of-use assets </t>
  </si>
  <si>
    <t xml:space="preserve">Investment in associates </t>
  </si>
  <si>
    <t xml:space="preserve">Investment in joint ventures </t>
  </si>
  <si>
    <t xml:space="preserve">Financial asset at fair value through other comprehensive income </t>
  </si>
  <si>
    <t>Abu Dhabi National Hotels Company PJSC</t>
  </si>
  <si>
    <t>Franchise fee</t>
  </si>
  <si>
    <t>Consolidated statement of financial position</t>
  </si>
  <si>
    <t xml:space="preserve">Intangible assets </t>
  </si>
  <si>
    <t>Note</t>
  </si>
  <si>
    <t>Current assets</t>
  </si>
  <si>
    <t xml:space="preserve">Inventories </t>
  </si>
  <si>
    <t xml:space="preserve">Trade and other receivables </t>
  </si>
  <si>
    <t xml:space="preserve">Financial assets at FVTPL </t>
  </si>
  <si>
    <t xml:space="preserve">Term deposits </t>
  </si>
  <si>
    <t xml:space="preserve">Cash and cash equivalents </t>
  </si>
  <si>
    <t>Total assets</t>
  </si>
  <si>
    <t xml:space="preserve">EQUITY AND LIABILITIES </t>
  </si>
  <si>
    <t>EQUITY</t>
  </si>
  <si>
    <t xml:space="preserve">Share capital </t>
  </si>
  <si>
    <t xml:space="preserve">Statutory and optional reserves </t>
  </si>
  <si>
    <t xml:space="preserve">Own shares </t>
  </si>
  <si>
    <t xml:space="preserve">Asset revaluation reserve </t>
  </si>
  <si>
    <t>Retained earnings</t>
  </si>
  <si>
    <t>Other reserve</t>
  </si>
  <si>
    <r>
      <rPr>
        <sz val="11.5"/>
        <rFont val="Times New Roman"/>
        <family val="1"/>
      </rPr>
      <t>-</t>
    </r>
  </si>
  <si>
    <t xml:space="preserve">Proposed dividends </t>
  </si>
  <si>
    <t xml:space="preserve">Capital and reserves attributable to shareholders of the Parent </t>
  </si>
  <si>
    <t xml:space="preserve">Non-controlling interests </t>
  </si>
  <si>
    <t>Total equity</t>
  </si>
  <si>
    <t xml:space="preserve">LIABILITIES </t>
  </si>
  <si>
    <t>Non-current liabilities</t>
  </si>
  <si>
    <t xml:space="preserve">Bank borrow ings </t>
  </si>
  <si>
    <t xml:space="preserve">Provision for employees' end of service benefits </t>
  </si>
  <si>
    <t xml:space="preserve">Deferred income tax liabilities </t>
  </si>
  <si>
    <t xml:space="preserve">Lease liabilities </t>
  </si>
  <si>
    <t>Current liabilities</t>
  </si>
  <si>
    <t xml:space="preserve">Current tax liabilities </t>
  </si>
  <si>
    <t xml:space="preserve">Trade and other payables </t>
  </si>
  <si>
    <t>Total liabilities</t>
  </si>
  <si>
    <t>Total equity and liabilities</t>
  </si>
  <si>
    <t>CHECK</t>
  </si>
  <si>
    <t>2025</t>
  </si>
  <si>
    <t>2024</t>
  </si>
  <si>
    <t xml:space="preserve">Cash flows from operating activities
</t>
  </si>
  <si>
    <t xml:space="preserve">2025
AED’000
</t>
  </si>
  <si>
    <t xml:space="preserve">2024
AED’000
</t>
  </si>
  <si>
    <t>Adjustments for:</t>
  </si>
  <si>
    <t>Depreciation of property and equipment</t>
  </si>
  <si>
    <t>-</t>
  </si>
  <si>
    <t>Fair value gain on financial assets carried at fair value through profit or loss</t>
  </si>
  <si>
    <t>Operating cash flows before payment of employees’s end of service benefits, income tax paid and changes in working capital</t>
  </si>
  <si>
    <t>Changes in working capital</t>
  </si>
  <si>
    <t>Inventories</t>
  </si>
  <si>
    <t>Cash flows from investing activities</t>
  </si>
  <si>
    <t>Purchase of property and equipment</t>
  </si>
  <si>
    <t>Payment  for  acquisition  of  subsidiaries,  net  of  cash acquired</t>
  </si>
  <si>
    <t>Dividends received from joint ventures and an associate</t>
  </si>
  <si>
    <t>Term deposits placed with maturity of more than three months</t>
  </si>
  <si>
    <t>Purchase of financial assets at fair value through profit and loss</t>
  </si>
  <si>
    <t>Term  deposits  collected  with  maturity  of  more than three months</t>
  </si>
  <si>
    <t>21,000   </t>
  </si>
  <si>
    <t>1,169  </t>
  </si>
  <si>
    <t>Net cash generated from/(used in) investing activities</t>
  </si>
  <si>
    <t>357,100   </t>
  </si>
  <si>
    <t>Free Cash Flow</t>
  </si>
  <si>
    <t>Total Revenue</t>
  </si>
  <si>
    <t>CF From Operation-Capex</t>
  </si>
  <si>
    <t>Variance %</t>
  </si>
  <si>
    <t>Financial Health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</si>
</sst>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5" formatCode="&quot;$&quot;#,##0"/>
    <numFmt numFmtId="168" formatCode="&quot;$&quot;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Impact"/>
      <family val="2"/>
    </font>
    <font>
      <sz val="22"/>
      <color theme="0"/>
      <name val="Impact"/>
      <family val="2"/>
    </font>
    <font>
      <sz val="18"/>
      <color theme="1"/>
      <name val="Impact"/>
      <family val="2"/>
    </font>
    <font>
      <sz val="9"/>
      <color theme="1"/>
      <name val="Impact"/>
      <family val="2"/>
    </font>
    <font>
      <sz val="32"/>
      <color rgb="FF00B050"/>
      <name val="Impact"/>
      <family val="2"/>
    </font>
    <font>
      <sz val="32"/>
      <color rgb="FFFF0000"/>
      <name val="Impact"/>
      <family val="2"/>
    </font>
    <font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.5"/>
      <name val="Times New Roman"/>
      <family val="1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.5"/>
      <color theme="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Arial Black"/>
      <family val="2"/>
    </font>
    <font>
      <sz val="8"/>
      <color theme="2" tint="-9.9978637043366805E-2"/>
      <name val="Impact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18" fillId="0" borderId="0"/>
  </cellStyleXfs>
  <cellXfs count="82">
    <xf numFmtId="0" fontId="0" fillId="0" borderId="0" xfId="0"/>
    <xf numFmtId="0" fontId="0" fillId="2" borderId="0" xfId="0" applyFill="1"/>
    <xf numFmtId="0" fontId="0" fillId="3" borderId="0" xfId="0" applyFill="1"/>
    <xf numFmtId="0" fontId="4" fillId="3" borderId="0" xfId="0" applyFont="1" applyFill="1" applyAlignment="1">
      <alignment horizontal="left" vertical="center"/>
    </xf>
    <xf numFmtId="0" fontId="0" fillId="5" borderId="0" xfId="0" applyFill="1"/>
    <xf numFmtId="0" fontId="0" fillId="6" borderId="1" xfId="0" applyFill="1" applyBorder="1"/>
    <xf numFmtId="0" fontId="0" fillId="0" borderId="1" xfId="0" applyBorder="1"/>
    <xf numFmtId="0" fontId="0" fillId="6" borderId="2" xfId="0" applyFill="1" applyBorder="1"/>
    <xf numFmtId="0" fontId="0" fillId="0" borderId="2" xfId="0" applyBorder="1"/>
    <xf numFmtId="9" fontId="0" fillId="0" borderId="1" xfId="0" applyNumberFormat="1" applyBorder="1"/>
    <xf numFmtId="9" fontId="0" fillId="0" borderId="1" xfId="1" applyFont="1" applyBorder="1"/>
    <xf numFmtId="165" fontId="0" fillId="0" borderId="1" xfId="0" applyNumberFormat="1" applyBorder="1"/>
    <xf numFmtId="165" fontId="2" fillId="0" borderId="1" xfId="0" applyNumberFormat="1" applyFont="1" applyBorder="1"/>
    <xf numFmtId="165" fontId="9" fillId="0" borderId="1" xfId="0" applyNumberFormat="1" applyFont="1" applyBorder="1"/>
    <xf numFmtId="17" fontId="0" fillId="0" borderId="1" xfId="0" applyNumberFormat="1" applyBorder="1"/>
    <xf numFmtId="0" fontId="0" fillId="8" borderId="0" xfId="0" applyFill="1"/>
    <xf numFmtId="0" fontId="0" fillId="0" borderId="4" xfId="0" applyBorder="1"/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3"/>
    </xf>
    <xf numFmtId="0" fontId="8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7" borderId="0" xfId="0" applyFill="1" applyAlignment="1">
      <alignment wrapText="1"/>
    </xf>
    <xf numFmtId="0" fontId="0" fillId="0" borderId="0" xfId="0"/>
    <xf numFmtId="38" fontId="0" fillId="0" borderId="0" xfId="0" applyNumberFormat="1"/>
    <xf numFmtId="0" fontId="10" fillId="9" borderId="0" xfId="0" applyFont="1" applyFill="1"/>
    <xf numFmtId="38" fontId="10" fillId="9" borderId="0" xfId="0" applyNumberFormat="1" applyFont="1" applyFill="1"/>
    <xf numFmtId="0" fontId="13" fillId="0" borderId="0" xfId="2" applyFont="1" applyAlignment="1">
      <alignment horizontal="left" vertical="top"/>
    </xf>
    <xf numFmtId="0" fontId="12" fillId="0" borderId="0" xfId="2"/>
    <xf numFmtId="38" fontId="13" fillId="0" borderId="0" xfId="3" applyNumberFormat="1" applyFont="1" applyBorder="1" applyAlignment="1">
      <alignment horizontal="right" vertical="top" wrapText="1"/>
    </xf>
    <xf numFmtId="38" fontId="13" fillId="0" borderId="0" xfId="2" applyNumberFormat="1" applyFont="1" applyAlignment="1">
      <alignment horizontal="right" vertical="top" wrapText="1"/>
    </xf>
    <xf numFmtId="38" fontId="12" fillId="0" borderId="0" xfId="2" applyNumberFormat="1"/>
    <xf numFmtId="38" fontId="12" fillId="0" borderId="0" xfId="2" applyNumberFormat="1" applyAlignment="1">
      <alignment horizontal="right" vertical="top" wrapText="1"/>
    </xf>
    <xf numFmtId="0" fontId="13" fillId="0" borderId="0" xfId="2" applyFont="1" applyAlignment="1">
      <alignment horizontal="left" vertical="top" wrapText="1"/>
    </xf>
    <xf numFmtId="0" fontId="13" fillId="0" borderId="1" xfId="2" applyFont="1" applyBorder="1" applyAlignment="1">
      <alignment horizontal="left" vertical="top" wrapText="1"/>
    </xf>
    <xf numFmtId="3" fontId="13" fillId="0" borderId="1" xfId="2" applyNumberFormat="1" applyFont="1" applyBorder="1" applyAlignment="1">
      <alignment horizontal="left" vertical="top" wrapText="1"/>
    </xf>
    <xf numFmtId="37" fontId="13" fillId="0" borderId="1" xfId="2" applyNumberFormat="1" applyFont="1" applyBorder="1" applyAlignment="1">
      <alignment horizontal="left" vertical="top" wrapText="1"/>
    </xf>
    <xf numFmtId="0" fontId="12" fillId="0" borderId="1" xfId="2" applyBorder="1" applyAlignment="1">
      <alignment horizontal="left" vertical="top" wrapText="1"/>
    </xf>
    <xf numFmtId="2" fontId="13" fillId="0" borderId="1" xfId="2" applyNumberFormat="1" applyFont="1" applyBorder="1" applyAlignment="1">
      <alignment horizontal="left" vertical="top" wrapText="1"/>
    </xf>
    <xf numFmtId="0" fontId="12" fillId="0" borderId="1" xfId="2" applyBorder="1" applyAlignment="1">
      <alignment vertical="top" wrapText="1"/>
    </xf>
    <xf numFmtId="0" fontId="13" fillId="0" borderId="1" xfId="2" applyFont="1" applyBorder="1" applyAlignment="1">
      <alignment horizontal="left" vertical="top" wrapText="1"/>
    </xf>
    <xf numFmtId="1" fontId="13" fillId="0" borderId="1" xfId="2" applyNumberFormat="1" applyFont="1" applyBorder="1" applyAlignment="1">
      <alignment horizontal="left" vertical="top" wrapText="1"/>
    </xf>
    <xf numFmtId="0" fontId="14" fillId="0" borderId="0" xfId="2" applyFont="1"/>
    <xf numFmtId="0" fontId="15" fillId="0" borderId="0" xfId="2" applyFont="1"/>
    <xf numFmtId="0" fontId="15" fillId="9" borderId="0" xfId="2" applyFont="1" applyFill="1"/>
    <xf numFmtId="38" fontId="15" fillId="9" borderId="0" xfId="2" applyNumberFormat="1" applyFont="1" applyFill="1"/>
    <xf numFmtId="38" fontId="16" fillId="9" borderId="0" xfId="2" applyNumberFormat="1" applyFont="1" applyFill="1" applyAlignment="1">
      <alignment horizontal="right" vertical="top" wrapText="1"/>
    </xf>
    <xf numFmtId="38" fontId="15" fillId="9" borderId="0" xfId="2" applyNumberFormat="1" applyFont="1" applyFill="1" applyAlignment="1">
      <alignment horizontal="right"/>
    </xf>
    <xf numFmtId="0" fontId="17" fillId="0" borderId="0" xfId="2" applyFont="1"/>
    <xf numFmtId="0" fontId="18" fillId="0" borderId="0" xfId="4" applyAlignment="1">
      <alignment horizontal="left" vertical="top"/>
    </xf>
    <xf numFmtId="38" fontId="18" fillId="0" borderId="0" xfId="4" applyNumberFormat="1" applyAlignment="1">
      <alignment horizontal="left" vertical="top"/>
    </xf>
    <xf numFmtId="3" fontId="18" fillId="0" borderId="0" xfId="4" applyNumberFormat="1" applyAlignment="1">
      <alignment horizontal="left" vertical="top"/>
    </xf>
    <xf numFmtId="0" fontId="19" fillId="0" borderId="0" xfId="4" applyFont="1" applyAlignment="1">
      <alignment horizontal="left" vertical="top"/>
    </xf>
    <xf numFmtId="0" fontId="20" fillId="0" borderId="0" xfId="4" applyFont="1" applyAlignment="1">
      <alignment horizontal="left" vertical="top"/>
    </xf>
    <xf numFmtId="0" fontId="20" fillId="0" borderId="0" xfId="4" applyFont="1" applyAlignment="1">
      <alignment horizontal="left" vertical="top" wrapText="1"/>
    </xf>
    <xf numFmtId="38" fontId="19" fillId="0" borderId="0" xfId="4" applyNumberFormat="1" applyFont="1" applyAlignment="1">
      <alignment horizontal="left" vertical="top"/>
    </xf>
    <xf numFmtId="0" fontId="20" fillId="9" borderId="0" xfId="4" applyFont="1" applyFill="1" applyAlignment="1">
      <alignment horizontal="left" vertical="top"/>
    </xf>
    <xf numFmtId="38" fontId="20" fillId="9" borderId="0" xfId="4" applyNumberFormat="1" applyFont="1" applyFill="1" applyAlignment="1">
      <alignment horizontal="left" vertical="top"/>
    </xf>
    <xf numFmtId="165" fontId="0" fillId="0" borderId="2" xfId="0" applyNumberFormat="1" applyBorder="1"/>
    <xf numFmtId="165" fontId="0" fillId="0" borderId="0" xfId="0" applyNumberFormat="1"/>
    <xf numFmtId="6" fontId="0" fillId="0" borderId="1" xfId="0" applyNumberFormat="1" applyBorder="1"/>
    <xf numFmtId="9" fontId="0" fillId="0" borderId="0" xfId="1" applyFont="1"/>
    <xf numFmtId="168" fontId="0" fillId="0" borderId="0" xfId="0" applyNumberFormat="1"/>
    <xf numFmtId="0" fontId="0" fillId="0" borderId="0" xfId="0" applyFill="1" applyBorder="1"/>
    <xf numFmtId="14" fontId="0" fillId="0" borderId="0" xfId="0" applyNumberFormat="1" applyFill="1" applyBorder="1"/>
    <xf numFmtId="0" fontId="21" fillId="3" borderId="0" xfId="0" applyFont="1" applyFill="1" applyAlignment="1">
      <alignment horizontal="left" vertical="center"/>
    </xf>
    <xf numFmtId="0" fontId="22" fillId="0" borderId="0" xfId="0" applyFont="1" applyAlignment="1">
      <alignment horizontal="center"/>
    </xf>
    <xf numFmtId="9" fontId="2" fillId="0" borderId="1" xfId="1" applyFont="1" applyBorder="1"/>
    <xf numFmtId="9" fontId="9" fillId="0" borderId="1" xfId="1" applyFont="1" applyBorder="1"/>
    <xf numFmtId="165" fontId="0" fillId="0" borderId="0" xfId="0" applyNumberFormat="1" applyFill="1" applyBorder="1"/>
    <xf numFmtId="6" fontId="0" fillId="0" borderId="0" xfId="0" applyNumberFormat="1" applyFill="1" applyBorder="1"/>
    <xf numFmtId="165" fontId="2" fillId="0" borderId="0" xfId="0" applyNumberFormat="1" applyFont="1" applyFill="1" applyBorder="1"/>
    <xf numFmtId="165" fontId="9" fillId="0" borderId="0" xfId="0" applyNumberFormat="1" applyFont="1" applyFill="1" applyBorder="1"/>
    <xf numFmtId="9" fontId="0" fillId="0" borderId="0" xfId="1" applyFont="1" applyFill="1" applyBorder="1"/>
    <xf numFmtId="9" fontId="0" fillId="0" borderId="0" xfId="0" applyNumberFormat="1" applyFill="1" applyBorder="1"/>
    <xf numFmtId="9" fontId="2" fillId="0" borderId="0" xfId="0" applyNumberFormat="1" applyFont="1" applyFill="1" applyBorder="1"/>
    <xf numFmtId="9" fontId="9" fillId="0" borderId="0" xfId="0" applyNumberFormat="1" applyFont="1" applyFill="1" applyBorder="1"/>
    <xf numFmtId="6" fontId="0" fillId="0" borderId="0" xfId="1" applyNumberFormat="1" applyFont="1" applyFill="1" applyBorder="1"/>
    <xf numFmtId="165" fontId="0" fillId="0" borderId="0" xfId="0" applyNumberFormat="1" applyFill="1" applyBorder="1" applyAlignment="1">
      <alignment horizontal="right"/>
    </xf>
  </cellXfs>
  <cellStyles count="5">
    <cellStyle name="Currency 2" xfId="3" xr:uid="{9E4EF731-2866-4413-A4E8-E9D16B7EE4FB}"/>
    <cellStyle name="Normal" xfId="0" builtinId="0"/>
    <cellStyle name="Normal 2" xfId="2" xr:uid="{02F52465-E775-4911-BCEB-307D59C6BF1B}"/>
    <cellStyle name="Normal 3" xfId="4" xr:uid="{87059DD3-571B-46CC-BF70-59EFB48B247A}"/>
    <cellStyle name="Percent" xfId="1" builtinId="5"/>
  </cellStyles>
  <dxfs count="7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EFFFF5"/>
        </patternFill>
      </fill>
    </dxf>
    <dxf>
      <font>
        <color rgb="FF00B050"/>
      </font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ont>
        <color theme="5" tint="-0.2499465926084170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FFFF5"/>
        </patternFill>
      </fill>
    </dxf>
    <dxf>
      <font>
        <color theme="0"/>
      </font>
      <fill>
        <patternFill>
          <bgColor rgb="FFFF0000"/>
        </patternFill>
      </fill>
    </dxf>
    <dxf>
      <numFmt numFmtId="6" formatCode="#,##0_);[Red]\(#,##0\)"/>
    </dxf>
    <dxf>
      <numFmt numFmtId="6" formatCode="#,##0_);[Red]\(#,##0\)"/>
    </dxf>
    <dxf>
      <numFmt numFmtId="0" formatCode="General"/>
    </dxf>
    <dxf>
      <font>
        <b/>
        <strike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</dxf>
    <dxf>
      <numFmt numFmtId="6" formatCode="#,##0_);[Red]\(#,##0\)"/>
      <alignment horizontal="left" vertical="top" textRotation="0" wrapText="0" indent="0" justifyLastLine="0" shrinkToFit="0" readingOrder="0"/>
    </dxf>
    <dxf>
      <numFmt numFmtId="6" formatCode="#,##0_);[Red]\(#,##0\)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numFmt numFmtId="6" formatCode="#,##0_);[Red]\(#,##0\)"/>
    </dxf>
    <dxf>
      <numFmt numFmtId="6" formatCode="#,##0_);[Red]\(#,##0\)"/>
    </dxf>
  </dxfs>
  <tableStyles count="0" defaultTableStyle="TableStyleMedium2" defaultPivotStyle="PivotStyleLight16"/>
  <colors>
    <mruColors>
      <color rgb="FFF8FCC4"/>
      <color rgb="FFEFF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17</xdr:row>
      <xdr:rowOff>171450</xdr:rowOff>
    </xdr:from>
    <xdr:to>
      <xdr:col>9</xdr:col>
      <xdr:colOff>0</xdr:colOff>
      <xdr:row>19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A2A86EB-D83F-3044-7724-FC8BD1EA74FA}"/>
            </a:ext>
          </a:extLst>
        </xdr:cNvPr>
        <xdr:cNvSpPr/>
      </xdr:nvSpPr>
      <xdr:spPr>
        <a:xfrm>
          <a:off x="7048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12</xdr:row>
      <xdr:rowOff>0</xdr:rowOff>
    </xdr:from>
    <xdr:to>
      <xdr:col>10</xdr:col>
      <xdr:colOff>0</xdr:colOff>
      <xdr:row>22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797E589-96BB-5BA5-12FC-99B8F2A73E10}"/>
            </a:ext>
          </a:extLst>
        </xdr:cNvPr>
        <xdr:cNvSpPr/>
      </xdr:nvSpPr>
      <xdr:spPr>
        <a:xfrm>
          <a:off x="4826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8</xdr:col>
      <xdr:colOff>6350</xdr:colOff>
      <xdr:row>8</xdr:row>
      <xdr:rowOff>6350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881B35E-C81E-6DFA-1BE6-D4661B815E4C}"/>
            </a:ext>
          </a:extLst>
        </xdr:cNvPr>
        <xdr:cNvSpPr/>
      </xdr:nvSpPr>
      <xdr:spPr>
        <a:xfrm>
          <a:off x="723900" y="1276350"/>
          <a:ext cx="1212850" cy="374650"/>
        </a:xfrm>
        <a:prstGeom prst="roundRect">
          <a:avLst>
            <a:gd name="adj" fmla="val 7738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3FABFD1-9389-04E6-F287-37E3DF198DF6}"/>
            </a:ext>
          </a:extLst>
        </xdr:cNvPr>
        <xdr:cNvSpPr/>
      </xdr:nvSpPr>
      <xdr:spPr>
        <a:xfrm>
          <a:off x="482600" y="908050"/>
          <a:ext cx="2654300" cy="920750"/>
        </a:xfrm>
        <a:prstGeom prst="roundRect">
          <a:avLst>
            <a:gd name="adj" fmla="val 2221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4</xdr:row>
      <xdr:rowOff>0</xdr:rowOff>
    </xdr:from>
    <xdr:to>
      <xdr:col>38</xdr:col>
      <xdr:colOff>0</xdr:colOff>
      <xdr:row>9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C917C7C-6C37-1BF2-44B3-52F868D6615A}"/>
            </a:ext>
          </a:extLst>
        </xdr:cNvPr>
        <xdr:cNvSpPr/>
      </xdr:nvSpPr>
      <xdr:spPr>
        <a:xfrm>
          <a:off x="3378200" y="908050"/>
          <a:ext cx="5791200" cy="920750"/>
        </a:xfrm>
        <a:prstGeom prst="roundRect">
          <a:avLst>
            <a:gd name="adj" fmla="val 1531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190500</xdr:colOff>
      <xdr:row>5</xdr:row>
      <xdr:rowOff>82550</xdr:rowOff>
    </xdr:from>
    <xdr:to>
      <xdr:col>24</xdr:col>
      <xdr:colOff>190500</xdr:colOff>
      <xdr:row>7</xdr:row>
      <xdr:rowOff>82550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B3A9CCF-78D3-EC01-9354-2CE46C3AF7BD}"/>
            </a:ext>
          </a:extLst>
        </xdr:cNvPr>
        <xdr:cNvCxnSpPr/>
      </xdr:nvCxnSpPr>
      <xdr:spPr>
        <a:xfrm>
          <a:off x="5981700" y="1174750"/>
          <a:ext cx="0" cy="368300"/>
        </a:xfrm>
        <a:prstGeom prst="line">
          <a:avLst/>
        </a:prstGeom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222250</xdr:colOff>
      <xdr:row>17</xdr:row>
      <xdr:rowOff>171450</xdr:rowOff>
    </xdr:from>
    <xdr:to>
      <xdr:col>18</xdr:col>
      <xdr:colOff>0</xdr:colOff>
      <xdr:row>19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EDDC8D7-3C6C-405B-B0DF-8B81168B2582}"/>
            </a:ext>
          </a:extLst>
        </xdr:cNvPr>
        <xdr:cNvSpPr/>
      </xdr:nvSpPr>
      <xdr:spPr>
        <a:xfrm>
          <a:off x="7048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19</xdr:col>
      <xdr:colOff>0</xdr:colOff>
      <xdr:row>22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B1C3599-0159-40F1-8608-98ABC673BC93}"/>
            </a:ext>
          </a:extLst>
        </xdr:cNvPr>
        <xdr:cNvSpPr/>
      </xdr:nvSpPr>
      <xdr:spPr>
        <a:xfrm>
          <a:off x="4826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222250</xdr:colOff>
      <xdr:row>17</xdr:row>
      <xdr:rowOff>171450</xdr:rowOff>
    </xdr:from>
    <xdr:to>
      <xdr:col>27</xdr:col>
      <xdr:colOff>0</xdr:colOff>
      <xdr:row>19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D3A16DF-70E4-432B-8263-9473C90A37A1}"/>
            </a:ext>
          </a:extLst>
        </xdr:cNvPr>
        <xdr:cNvSpPr/>
      </xdr:nvSpPr>
      <xdr:spPr>
        <a:xfrm>
          <a:off x="7048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12</xdr:row>
      <xdr:rowOff>0</xdr:rowOff>
    </xdr:from>
    <xdr:to>
      <xdr:col>28</xdr:col>
      <xdr:colOff>0</xdr:colOff>
      <xdr:row>22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F8F455C-7AA6-4C8E-885D-DBBDFB42472B}"/>
            </a:ext>
          </a:extLst>
        </xdr:cNvPr>
        <xdr:cNvSpPr/>
      </xdr:nvSpPr>
      <xdr:spPr>
        <a:xfrm>
          <a:off x="4826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222250</xdr:colOff>
      <xdr:row>17</xdr:row>
      <xdr:rowOff>171450</xdr:rowOff>
    </xdr:from>
    <xdr:to>
      <xdr:col>36</xdr:col>
      <xdr:colOff>0</xdr:colOff>
      <xdr:row>19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B5B3B3C-4B74-473F-AE02-0F011170FD82}"/>
            </a:ext>
          </a:extLst>
        </xdr:cNvPr>
        <xdr:cNvSpPr/>
      </xdr:nvSpPr>
      <xdr:spPr>
        <a:xfrm>
          <a:off x="7048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0</xdr:colOff>
      <xdr:row>12</xdr:row>
      <xdr:rowOff>0</xdr:rowOff>
    </xdr:from>
    <xdr:to>
      <xdr:col>37</xdr:col>
      <xdr:colOff>0</xdr:colOff>
      <xdr:row>22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95AEAE4-FD1F-42F7-B16E-0BCDE14E4790}"/>
            </a:ext>
          </a:extLst>
        </xdr:cNvPr>
        <xdr:cNvSpPr/>
      </xdr:nvSpPr>
      <xdr:spPr>
        <a:xfrm>
          <a:off x="4826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222250</xdr:colOff>
      <xdr:row>28</xdr:row>
      <xdr:rowOff>171450</xdr:rowOff>
    </xdr:from>
    <xdr:to>
      <xdr:col>9</xdr:col>
      <xdr:colOff>0</xdr:colOff>
      <xdr:row>30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DDDBFC3-FA97-45E6-9064-CE4504F7E205}"/>
            </a:ext>
          </a:extLst>
        </xdr:cNvPr>
        <xdr:cNvSpPr/>
      </xdr:nvSpPr>
      <xdr:spPr>
        <a:xfrm>
          <a:off x="7048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10</xdr:col>
      <xdr:colOff>0</xdr:colOff>
      <xdr:row>33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5E4C30C-4FB8-4FA4-9BB1-F7FD4D564798}"/>
            </a:ext>
          </a:extLst>
        </xdr:cNvPr>
        <xdr:cNvSpPr/>
      </xdr:nvSpPr>
      <xdr:spPr>
        <a:xfrm>
          <a:off x="4826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222250</xdr:colOff>
      <xdr:row>28</xdr:row>
      <xdr:rowOff>171450</xdr:rowOff>
    </xdr:from>
    <xdr:to>
      <xdr:col>18</xdr:col>
      <xdr:colOff>0</xdr:colOff>
      <xdr:row>30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40EAE4A-C206-4676-A774-F52C373B56A5}"/>
            </a:ext>
          </a:extLst>
        </xdr:cNvPr>
        <xdr:cNvSpPr/>
      </xdr:nvSpPr>
      <xdr:spPr>
        <a:xfrm>
          <a:off x="28765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19</xdr:col>
      <xdr:colOff>0</xdr:colOff>
      <xdr:row>33</xdr:row>
      <xdr:rowOff>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AD5B43C-15C1-4522-9EE0-FF75F7E5CF20}"/>
            </a:ext>
          </a:extLst>
        </xdr:cNvPr>
        <xdr:cNvSpPr/>
      </xdr:nvSpPr>
      <xdr:spPr>
        <a:xfrm>
          <a:off x="26543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222250</xdr:colOff>
      <xdr:row>28</xdr:row>
      <xdr:rowOff>171450</xdr:rowOff>
    </xdr:from>
    <xdr:to>
      <xdr:col>27</xdr:col>
      <xdr:colOff>0</xdr:colOff>
      <xdr:row>30</xdr:row>
      <xdr:rowOff>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3D804EB-0BC7-4B13-88A3-842333C683AB}"/>
            </a:ext>
          </a:extLst>
        </xdr:cNvPr>
        <xdr:cNvSpPr/>
      </xdr:nvSpPr>
      <xdr:spPr>
        <a:xfrm>
          <a:off x="50482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23</xdr:row>
      <xdr:rowOff>0</xdr:rowOff>
    </xdr:from>
    <xdr:to>
      <xdr:col>28</xdr:col>
      <xdr:colOff>0</xdr:colOff>
      <xdr:row>33</xdr:row>
      <xdr:rowOff>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FCA0DB00-4D3D-4DA5-9B85-C8BFEBB41512}"/>
            </a:ext>
          </a:extLst>
        </xdr:cNvPr>
        <xdr:cNvSpPr/>
      </xdr:nvSpPr>
      <xdr:spPr>
        <a:xfrm>
          <a:off x="48260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222250</xdr:colOff>
      <xdr:row>28</xdr:row>
      <xdr:rowOff>171450</xdr:rowOff>
    </xdr:from>
    <xdr:to>
      <xdr:col>36</xdr:col>
      <xdr:colOff>0</xdr:colOff>
      <xdr:row>30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CC5F640-2C6B-4DF5-A211-F6C53469EFB9}"/>
            </a:ext>
          </a:extLst>
        </xdr:cNvPr>
        <xdr:cNvSpPr/>
      </xdr:nvSpPr>
      <xdr:spPr>
        <a:xfrm>
          <a:off x="7219950" y="3473450"/>
          <a:ext cx="1466850" cy="196850"/>
        </a:xfrm>
        <a:prstGeom prst="round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0</xdr:colOff>
      <xdr:row>23</xdr:row>
      <xdr:rowOff>0</xdr:rowOff>
    </xdr:from>
    <xdr:to>
      <xdr:col>37</xdr:col>
      <xdr:colOff>0</xdr:colOff>
      <xdr:row>33</xdr:row>
      <xdr:rowOff>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CAC4CD2F-A00C-4A5F-B6A4-EB2590F5FD30}"/>
            </a:ext>
          </a:extLst>
        </xdr:cNvPr>
        <xdr:cNvSpPr/>
      </xdr:nvSpPr>
      <xdr:spPr>
        <a:xfrm>
          <a:off x="6997700" y="2381250"/>
          <a:ext cx="1930400" cy="1841500"/>
        </a:xfrm>
        <a:prstGeom prst="roundRect">
          <a:avLst>
            <a:gd name="adj" fmla="val 0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7A4EFA-FBDB-46A3-AEF6-04C36B33DF49}" autoFormatId="16" applyNumberFormats="0" applyBorderFormats="0" applyFontFormats="0" applyPatternFormats="0" applyAlignmentFormats="0" applyWidthHeightFormats="0">
  <queryTableRefresh nextId="6">
    <queryTableFields count="3">
      <queryTableField id="1" name="Income Statement" tableColumnId="1"/>
      <queryTableField id="2" name="December 2025" tableColumnId="2"/>
      <queryTableField id="3" name="December 2024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966F2-4C3E-4E11-B69D-213C91132D9A}" name="Page002" displayName="Page002" ref="B3:D23" tableType="queryTable" totalsRowShown="0">
  <autoFilter ref="B3:D23" xr:uid="{384966F2-4C3E-4E11-B69D-213C91132D9A}">
    <filterColumn colId="0" hiddenButton="1"/>
    <filterColumn colId="1" hiddenButton="1"/>
    <filterColumn colId="2" hiddenButton="1"/>
  </autoFilter>
  <tableColumns count="3">
    <tableColumn id="1" xr3:uid="{5F9E81FC-2CD8-49AE-85E3-E2F0C229D329}" uniqueName="1" name="Income Statement" queryTableFieldId="1" dataDxfId="69"/>
    <tableColumn id="2" xr3:uid="{ADAB4CD7-C839-49B1-9CE1-3FEDADC9DC55}" uniqueName="2" name="December 2025" queryTableFieldId="2" dataDxfId="68"/>
    <tableColumn id="3" xr3:uid="{1ED77429-1E4A-4EB6-B3EB-2C52E4D14757}" uniqueName="3" name="December 2024" queryTableFieldId="3" dataDxfId="6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A5F47-8288-437B-82FF-B232D1BB7BC7}" name="Table2" displayName="Table2" ref="C4:E51" totalsRowShown="0" headerRowDxfId="74" headerRowCellStyle="Normal 2">
  <autoFilter ref="C4:E51" xr:uid="{573A5F47-8288-437B-82FF-B232D1BB7BC7}"/>
  <tableColumns count="3">
    <tableColumn id="1" xr3:uid="{00C8C72D-B6F5-4335-B536-40BE9B792EBF}" name="Balance Sheet" dataCellStyle="Normal 2"/>
    <tableColumn id="2" xr3:uid="{C2CDC4B6-C5C2-4E1A-920C-AB6B28AAC27E}" name="2025" dataDxfId="76" dataCellStyle="Normal 2"/>
    <tableColumn id="3" xr3:uid="{8F35E21A-AC48-4AD2-9402-49D9E2DCEE6F}" name="2024" dataDxfId="75" dataCellStyle="Normal 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FFB02C-05E4-406B-8624-8AA8C46F6722}" name="Table3" displayName="Table3" ref="C3:E41" totalsRowShown="0" headerRowDxfId="70">
  <autoFilter ref="C3:E41" xr:uid="{B3FFB02C-05E4-406B-8624-8AA8C46F6722}">
    <filterColumn colId="0" hiddenButton="1"/>
    <filterColumn colId="1" hiddenButton="1"/>
    <filterColumn colId="2" hiddenButton="1"/>
  </autoFilter>
  <tableColumns count="3">
    <tableColumn id="1" xr3:uid="{67C06A93-F95D-4C53-BB9C-2C74E0BCB06F}" name="Cash flows from operating activities_x000a_" dataDxfId="73" dataCellStyle="Normal 3"/>
    <tableColumn id="2" xr3:uid="{71007EF8-F8DC-4DD4-B262-1C5CDD158C89}" name="2025_x000a_AED’000_x000a_" dataDxfId="72" dataCellStyle="Normal 3"/>
    <tableColumn id="3" xr3:uid="{B25116A0-7A99-428B-82FF-D653D0585B14}" name="2024_x000a_AED’000_x000a_" dataDxfId="71" dataCellStyle="Normal 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1120-1574-4C0B-9149-4E9ED975AB76}">
  <dimension ref="B1:AM35"/>
  <sheetViews>
    <sheetView showGridLines="0" tabSelected="1" workbookViewId="0">
      <selection activeCell="L25" sqref="L25:S25"/>
    </sheetView>
  </sheetViews>
  <sheetFormatPr defaultRowHeight="14.5" x14ac:dyDescent="0.35"/>
  <cols>
    <col min="1" max="38" width="3.453125" style="1" customWidth="1"/>
    <col min="39" max="16384" width="8.7265625" style="1"/>
  </cols>
  <sheetData>
    <row r="1" spans="2:39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2:39" ht="28" x14ac:dyDescent="0.35">
      <c r="B2" s="2"/>
      <c r="C2" s="3" t="s">
        <v>149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2:39" ht="17" x14ac:dyDescent="0.35">
      <c r="B3" s="2"/>
      <c r="C3" s="68" t="str">
        <f>Calculations!B15</f>
        <v>Abu Dhabi National Hotels Company PJSC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2:39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2:39" x14ac:dyDescent="0.35">
      <c r="B5" s="2"/>
      <c r="C5"/>
      <c r="D5" s="20" t="s">
        <v>0</v>
      </c>
      <c r="E5" s="20"/>
      <c r="F5" s="20"/>
      <c r="G5" s="20"/>
      <c r="H5" s="20"/>
      <c r="I5" s="20"/>
      <c r="J5"/>
      <c r="K5"/>
      <c r="L5"/>
      <c r="M5"/>
      <c r="N5" s="2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s="2"/>
    </row>
    <row r="6" spans="2:39" x14ac:dyDescent="0.35">
      <c r="B6" s="2"/>
      <c r="C6"/>
      <c r="D6" s="20"/>
      <c r="E6" s="20"/>
      <c r="F6" s="20"/>
      <c r="G6" s="20"/>
      <c r="H6" s="20"/>
      <c r="I6" s="20"/>
      <c r="J6"/>
      <c r="K6"/>
      <c r="L6"/>
      <c r="M6"/>
      <c r="N6" s="2"/>
      <c r="O6"/>
      <c r="P6" s="20" t="s">
        <v>2</v>
      </c>
      <c r="Q6" s="20"/>
      <c r="R6" s="20"/>
      <c r="S6" s="20"/>
      <c r="T6" s="20"/>
      <c r="U6" s="20"/>
      <c r="V6" s="24">
        <f>SUM(Calculations!I16:I17)</f>
        <v>5</v>
      </c>
      <c r="W6" s="24"/>
      <c r="X6" s="24"/>
      <c r="Y6"/>
      <c r="Z6"/>
      <c r="AA6" s="20" t="s">
        <v>3</v>
      </c>
      <c r="AB6" s="20"/>
      <c r="AC6" s="20"/>
      <c r="AD6" s="20"/>
      <c r="AE6" s="20"/>
      <c r="AF6" s="20"/>
      <c r="AG6" s="23">
        <f>Calculations!I15</f>
        <v>3</v>
      </c>
      <c r="AH6" s="23"/>
      <c r="AI6" s="23"/>
      <c r="AJ6" s="23"/>
      <c r="AK6"/>
      <c r="AL6"/>
      <c r="AM6" s="2"/>
    </row>
    <row r="7" spans="2:39" x14ac:dyDescent="0.35">
      <c r="B7" s="2"/>
      <c r="C7"/>
      <c r="D7" s="20" t="str">
        <f>_xlfn.XLOOKUP(Calculations!$I$15,Calculations!$F$15:$F$23,Calculations!$E$15:$E$23)</f>
        <v>Critical</v>
      </c>
      <c r="E7" s="20"/>
      <c r="F7" s="20"/>
      <c r="G7" s="20"/>
      <c r="H7" s="20"/>
      <c r="I7"/>
      <c r="J7"/>
      <c r="K7"/>
      <c r="L7"/>
      <c r="M7"/>
      <c r="N7" s="2"/>
      <c r="O7"/>
      <c r="P7" s="20"/>
      <c r="Q7" s="20"/>
      <c r="R7" s="20"/>
      <c r="S7" s="20"/>
      <c r="T7" s="20"/>
      <c r="U7" s="20"/>
      <c r="V7" s="24"/>
      <c r="W7" s="24"/>
      <c r="X7" s="24"/>
      <c r="Y7"/>
      <c r="Z7"/>
      <c r="AA7" s="20"/>
      <c r="AB7" s="20"/>
      <c r="AC7" s="20"/>
      <c r="AD7" s="20"/>
      <c r="AE7" s="20"/>
      <c r="AF7" s="20"/>
      <c r="AG7" s="23"/>
      <c r="AH7" s="23"/>
      <c r="AI7" s="23"/>
      <c r="AJ7" s="23"/>
      <c r="AK7"/>
      <c r="AL7"/>
      <c r="AM7" s="2"/>
    </row>
    <row r="8" spans="2:39" x14ac:dyDescent="0.35">
      <c r="B8" s="2"/>
      <c r="C8"/>
      <c r="D8" s="20"/>
      <c r="E8" s="20"/>
      <c r="F8" s="20"/>
      <c r="G8" s="20"/>
      <c r="H8" s="20"/>
      <c r="I8"/>
      <c r="J8"/>
      <c r="K8"/>
      <c r="L8"/>
      <c r="M8"/>
      <c r="N8" s="2"/>
      <c r="O8"/>
      <c r="P8" s="20"/>
      <c r="Q8" s="20"/>
      <c r="R8" s="20"/>
      <c r="S8" s="20"/>
      <c r="T8" s="20"/>
      <c r="U8" s="20"/>
      <c r="V8" s="24"/>
      <c r="W8" s="24"/>
      <c r="X8" s="24"/>
      <c r="Y8"/>
      <c r="Z8"/>
      <c r="AA8" s="20"/>
      <c r="AB8" s="20"/>
      <c r="AC8" s="20"/>
      <c r="AD8" s="20"/>
      <c r="AE8" s="20"/>
      <c r="AF8" s="20"/>
      <c r="AG8" s="23"/>
      <c r="AH8" s="23"/>
      <c r="AI8" s="23"/>
      <c r="AJ8" s="23"/>
      <c r="AK8"/>
      <c r="AL8"/>
      <c r="AM8" s="2"/>
    </row>
    <row r="9" spans="2:39" x14ac:dyDescent="0.35">
      <c r="B9" s="2"/>
      <c r="C9"/>
      <c r="D9"/>
      <c r="E9"/>
      <c r="F9"/>
      <c r="G9"/>
      <c r="H9"/>
      <c r="I9"/>
      <c r="J9"/>
      <c r="K9"/>
      <c r="L9"/>
      <c r="M9"/>
      <c r="N9" s="2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s="2"/>
    </row>
    <row r="10" spans="2:39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2:39" ht="17" x14ac:dyDescent="0.35">
      <c r="B11" s="2"/>
      <c r="C11" s="68" t="str">
        <f>TEXT(Calculations!C21,"mmmm-yyy")&amp;" Compared to "&amp;TEXT(Calculations!C22,"mmmm-yyyy")</f>
        <v>December-2025 Compared to December-2024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2:39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2:39" x14ac:dyDescent="0.35">
      <c r="B13" s="2"/>
      <c r="C13"/>
      <c r="D13"/>
      <c r="E13"/>
      <c r="F13"/>
      <c r="G13"/>
      <c r="H13"/>
      <c r="I13"/>
      <c r="J13"/>
      <c r="K13" s="2"/>
      <c r="L13"/>
      <c r="M13"/>
      <c r="N13"/>
      <c r="O13"/>
      <c r="P13"/>
      <c r="Q13"/>
      <c r="R13"/>
      <c r="S13"/>
      <c r="T13" s="2"/>
      <c r="U13"/>
      <c r="V13"/>
      <c r="W13"/>
      <c r="X13"/>
      <c r="Y13"/>
      <c r="Z13"/>
      <c r="AA13"/>
      <c r="AB13"/>
      <c r="AC13" s="2"/>
      <c r="AD13"/>
      <c r="AE13"/>
      <c r="AF13"/>
      <c r="AG13"/>
      <c r="AH13"/>
      <c r="AI13"/>
      <c r="AJ13"/>
      <c r="AK13"/>
      <c r="AL13" s="2"/>
      <c r="AM13" s="2"/>
    </row>
    <row r="14" spans="2:39" x14ac:dyDescent="0.35">
      <c r="B14" s="2"/>
      <c r="C14" s="22" t="s">
        <v>5</v>
      </c>
      <c r="D14" s="22"/>
      <c r="E14" s="22"/>
      <c r="F14" s="22"/>
      <c r="G14" s="22"/>
      <c r="H14" s="22"/>
      <c r="I14" s="22"/>
      <c r="J14" s="22"/>
      <c r="K14" s="2"/>
      <c r="L14" s="22" t="s">
        <v>14</v>
      </c>
      <c r="M14" s="22"/>
      <c r="N14" s="22"/>
      <c r="O14" s="22"/>
      <c r="P14" s="22"/>
      <c r="Q14" s="22"/>
      <c r="R14" s="22"/>
      <c r="S14" s="22"/>
      <c r="T14" s="2"/>
      <c r="U14" s="22" t="s">
        <v>15</v>
      </c>
      <c r="V14" s="22"/>
      <c r="W14" s="22"/>
      <c r="X14" s="22"/>
      <c r="Y14" s="22"/>
      <c r="Z14" s="22"/>
      <c r="AA14" s="22"/>
      <c r="AB14" s="22"/>
      <c r="AC14" s="2"/>
      <c r="AD14" s="22" t="s">
        <v>16</v>
      </c>
      <c r="AE14" s="22"/>
      <c r="AF14" s="22"/>
      <c r="AG14" s="22"/>
      <c r="AH14" s="22"/>
      <c r="AI14" s="22"/>
      <c r="AJ14" s="22"/>
      <c r="AK14" s="22"/>
      <c r="AL14" s="2"/>
      <c r="AM14" s="2"/>
    </row>
    <row r="15" spans="2:39" x14ac:dyDescent="0.35">
      <c r="B15" s="2"/>
      <c r="C15" s="19" t="str">
        <f>_xlfn.LET(_xlpm.val,_xlfn.XLOOKUP(C14,Calculations!$B$3:$B$10,Calculations!$C$3:$C$10,"something wrong",0),
  IF(ABS(_xlpm.val)&gt;1.1, TEXT(_xlpm.val, "$#,##0;($#,##0)"),
  IF(AND(ABS(_xlpm.val)&lt;1, ABS(_xlpm.val)&gt;0.001), TEXT(_xlpm.val, "0.0%;(0.0%)"),
  TEXT(_xlpm.val, "0.00;(0.00)"))))</f>
        <v>$3,486,041</v>
      </c>
      <c r="D15" s="19"/>
      <c r="E15" s="19"/>
      <c r="F15" s="19"/>
      <c r="G15" s="19"/>
      <c r="H15" s="69" t="str">
        <f>_xlfn.LET(_xlpm.val, _xlfn.XLOOKUP(C14,Calculations!$B$3:$B$10,Calculations!$E$3:$E$10,"something wrong",0),
  IF(ABS(_xlpm.val)&gt;1.1, TEXT(_xlpm.val, "$#,##0;($#,##0)"),
  IF(AND(ABS(_xlpm.val)&lt;1, ABS(_xlpm.val)&gt;0.001), TEXT(_xlpm.val, "0.0%;(0.0%)"),
  TEXT(_xlpm.val, "0.00;(0.00)"))))</f>
        <v>$598,428</v>
      </c>
      <c r="I15" s="69"/>
      <c r="J15" s="69"/>
      <c r="K15" s="2"/>
      <c r="L15" s="19" t="str">
        <f>_xlfn.LET(_xlpm.val,_xlfn.XLOOKUP(L14,Calculations!$B$3:$B$10,Calculations!$C$3:$C$10,"something wrong",0),
  IF(ABS(_xlpm.val)&gt;1.1, TEXT(_xlpm.val, "$#,##0;($#,##0)"),
  IF(AND(ABS(_xlpm.val)&lt;1, ABS(_xlpm.val)&gt;0.001), TEXT(_xlpm.val, "0.0%;(0.0%)"),
  TEXT(_xlpm.val, "0.00;(0.00)"))))</f>
        <v>24.3%</v>
      </c>
      <c r="M15" s="19"/>
      <c r="N15" s="19"/>
      <c r="O15" s="19"/>
      <c r="P15" s="19"/>
      <c r="Q15" s="69" t="str">
        <f>_xlfn.LET(_xlpm.val, _xlfn.XLOOKUP(L14,Calculations!$B$3:$B$10,Calculations!$E$3:$E$10,"something wrong",0),
  IF(ABS(_xlpm.val)&gt;1.1, TEXT(_xlpm.val, "$#,##0;($#,##0)"),
  IF(AND(ABS(_xlpm.val)&lt;1, ABS(_xlpm.val)&gt;0.001), TEXT(_xlpm.val, "0.0%;(0.0%)"),
  TEXT(_xlpm.val, "0.00;(0.00)"))))</f>
        <v>1.9%</v>
      </c>
      <c r="R15" s="69"/>
      <c r="S15" s="69"/>
      <c r="T15" s="2"/>
      <c r="U15" s="19" t="str">
        <f>_xlfn.LET(_xlpm.val,_xlfn.XLOOKUP(U14,Calculations!$B$3:$B$10,Calculations!$C$3:$C$10,"something wrong",0),
  IF(ABS(_xlpm.val)&gt;1.1, TEXT(_xlpm.val, "$#,##0;($#,##0)"),
  IF(AND(ABS(_xlpm.val)&lt;1, ABS(_xlpm.val)&gt;0.001), TEXT(_xlpm.val, "0.0%;(0.0%)"),
  TEXT(_xlpm.val, "0.00;(0.00)"))))</f>
        <v>35.3%</v>
      </c>
      <c r="V15" s="19"/>
      <c r="W15" s="19"/>
      <c r="X15" s="19"/>
      <c r="Y15" s="19"/>
      <c r="Z15" s="69" t="str">
        <f>_xlfn.LET(_xlpm.val, _xlfn.XLOOKUP(U14,Calculations!$B$3:$B$10,Calculations!$E$3:$E$10,"something wrong",0),
  IF(ABS(_xlpm.val)&gt;1.1, TEXT(_xlpm.val, "$#,##0;($#,##0)"),
  IF(AND(ABS(_xlpm.val)&lt;1, ABS(_xlpm.val)&gt;0.001), TEXT(_xlpm.val, "0.0%;(0.0%)"),
  TEXT(_xlpm.val, "0.00;(0.00)"))))</f>
        <v>(14.3%)</v>
      </c>
      <c r="AA15" s="69"/>
      <c r="AB15" s="69"/>
      <c r="AC15" s="2"/>
      <c r="AD15" s="19" t="str">
        <f>_xlfn.LET(_xlpm.val,_xlfn.XLOOKUP(AD14,Calculations!$B$3:$B$10,Calculations!$C$3:$C$10,"something wrong",0),
  IF(ABS(_xlpm.val)&gt;1.1, TEXT(_xlpm.val, "$#,##0;($#,##0)"),
  IF(AND(ABS(_xlpm.val)&lt;1, ABS(_xlpm.val)&gt;0.001), TEXT(_xlpm.val, "0.0%;(0.0%)"),
  TEXT(_xlpm.val, "0.00;(0.00)"))))</f>
        <v>32.9%</v>
      </c>
      <c r="AE15" s="19"/>
      <c r="AF15" s="19"/>
      <c r="AG15" s="19"/>
      <c r="AH15" s="19"/>
      <c r="AI15" s="69" t="str">
        <f>_xlfn.LET(_xlpm.val, _xlfn.XLOOKUP(AD14,Calculations!$B$3:$B$10,Calculations!$E$3:$E$10,"something wrong",0),
  IF(ABS(_xlpm.val)&gt;1.1, TEXT(_xlpm.val, "$#,##0;($#,##0)"),
  IF(AND(ABS(_xlpm.val)&lt;1, ABS(_xlpm.val)&gt;0.001), TEXT(_xlpm.val, "0.0%;(0.0%)"),
  TEXT(_xlpm.val, "0.00;(0.00)"))))</f>
        <v>(13.4%)</v>
      </c>
      <c r="AJ15" s="69"/>
      <c r="AK15" s="69"/>
      <c r="AL15" s="2"/>
      <c r="AM15" s="2"/>
    </row>
    <row r="16" spans="2:39" x14ac:dyDescent="0.35">
      <c r="B16" s="2"/>
      <c r="C16" s="19"/>
      <c r="D16" s="19"/>
      <c r="E16" s="19"/>
      <c r="F16" s="19"/>
      <c r="G16" s="19"/>
      <c r="H16" s="69"/>
      <c r="I16" s="69"/>
      <c r="J16" s="69"/>
      <c r="K16" s="2"/>
      <c r="L16" s="19"/>
      <c r="M16" s="19"/>
      <c r="N16" s="19"/>
      <c r="O16" s="19"/>
      <c r="P16" s="19"/>
      <c r="Q16" s="69"/>
      <c r="R16" s="69"/>
      <c r="S16" s="69"/>
      <c r="T16" s="2"/>
      <c r="U16" s="19"/>
      <c r="V16" s="19"/>
      <c r="W16" s="19"/>
      <c r="X16" s="19"/>
      <c r="Y16" s="19"/>
      <c r="Z16" s="69"/>
      <c r="AA16" s="69"/>
      <c r="AB16" s="69"/>
      <c r="AC16" s="2"/>
      <c r="AD16" s="19"/>
      <c r="AE16" s="19"/>
      <c r="AF16" s="19"/>
      <c r="AG16" s="19"/>
      <c r="AH16" s="19"/>
      <c r="AI16" s="69"/>
      <c r="AJ16" s="69"/>
      <c r="AK16" s="69"/>
      <c r="AL16" s="2"/>
      <c r="AM16" s="2"/>
    </row>
    <row r="17" spans="2:39" x14ac:dyDescent="0.35">
      <c r="B17" s="2"/>
      <c r="C17" s="19"/>
      <c r="D17" s="19"/>
      <c r="E17" s="19"/>
      <c r="F17" s="19"/>
      <c r="G17" s="19"/>
      <c r="H17" s="69"/>
      <c r="I17" s="69"/>
      <c r="J17" s="69"/>
      <c r="K17" s="2"/>
      <c r="L17" s="19"/>
      <c r="M17" s="19"/>
      <c r="N17" s="19"/>
      <c r="O17" s="19"/>
      <c r="P17" s="19"/>
      <c r="Q17" s="69"/>
      <c r="R17" s="69"/>
      <c r="S17" s="69"/>
      <c r="T17" s="2"/>
      <c r="U17" s="19"/>
      <c r="V17" s="19"/>
      <c r="W17" s="19"/>
      <c r="X17" s="19"/>
      <c r="Y17" s="19"/>
      <c r="Z17" s="69"/>
      <c r="AA17" s="69"/>
      <c r="AB17" s="69"/>
      <c r="AC17" s="2"/>
      <c r="AD17" s="19"/>
      <c r="AE17" s="19"/>
      <c r="AF17" s="19"/>
      <c r="AG17" s="19"/>
      <c r="AH17" s="19"/>
      <c r="AI17" s="69"/>
      <c r="AJ17" s="69"/>
      <c r="AK17" s="69"/>
      <c r="AL17" s="2"/>
      <c r="AM17" s="2"/>
    </row>
    <row r="18" spans="2:39" x14ac:dyDescent="0.35">
      <c r="B18" s="2"/>
      <c r="C18"/>
      <c r="D18"/>
      <c r="E18"/>
      <c r="F18"/>
      <c r="G18"/>
      <c r="H18"/>
      <c r="I18"/>
      <c r="J18"/>
      <c r="K18" s="2"/>
      <c r="L18"/>
      <c r="M18"/>
      <c r="N18"/>
      <c r="O18"/>
      <c r="P18"/>
      <c r="Q18"/>
      <c r="R18"/>
      <c r="S18"/>
      <c r="T18" s="2"/>
      <c r="U18"/>
      <c r="V18"/>
      <c r="W18"/>
      <c r="X18"/>
      <c r="Y18"/>
      <c r="Z18"/>
      <c r="AA18"/>
      <c r="AB18"/>
      <c r="AC18" s="2"/>
      <c r="AD18"/>
      <c r="AE18"/>
      <c r="AF18"/>
      <c r="AG18"/>
      <c r="AH18"/>
      <c r="AI18"/>
      <c r="AJ18"/>
      <c r="AK18"/>
      <c r="AL18" s="2"/>
      <c r="AM18" s="2"/>
    </row>
    <row r="19" spans="2:39" x14ac:dyDescent="0.35">
      <c r="B19" s="2"/>
      <c r="C19"/>
      <c r="D19" s="20" t="s">
        <v>4</v>
      </c>
      <c r="E19" s="20"/>
      <c r="F19" s="21" t="str">
        <f>_xlfn.XLOOKUP(C14,Calculations!$B$3:$B$10,Calculations!$H$3:$H$10,"something wrong",0)</f>
        <v>Excellent</v>
      </c>
      <c r="G19" s="21"/>
      <c r="H19" s="21"/>
      <c r="I19" s="21"/>
      <c r="J19"/>
      <c r="K19" s="2"/>
      <c r="L19"/>
      <c r="M19" s="20" t="s">
        <v>4</v>
      </c>
      <c r="N19" s="20"/>
      <c r="O19" s="21" t="str">
        <f>_xlfn.XLOOKUP(L14,Calculations!$B$3:$B$10,Calculations!$H$3:$H$10,"something wrong",0)</f>
        <v>Excellent</v>
      </c>
      <c r="P19" s="21"/>
      <c r="Q19" s="21"/>
      <c r="R19" s="21"/>
      <c r="S19"/>
      <c r="T19" s="2"/>
      <c r="U19"/>
      <c r="V19" s="20" t="s">
        <v>4</v>
      </c>
      <c r="W19" s="20"/>
      <c r="X19" s="21" t="str">
        <f>_xlfn.XLOOKUP(U14,Calculations!$B$3:$B$10,Calculations!$H$3:$H$10,"something wrong",0)</f>
        <v>Critical</v>
      </c>
      <c r="Y19" s="21"/>
      <c r="Z19" s="21"/>
      <c r="AA19" s="21"/>
      <c r="AB19"/>
      <c r="AC19" s="2"/>
      <c r="AD19"/>
      <c r="AE19" s="20" t="s">
        <v>4</v>
      </c>
      <c r="AF19" s="20"/>
      <c r="AG19" s="21" t="str">
        <f>_xlfn.XLOOKUP(AD14,Calculations!$B$3:$B$10,Calculations!$H$3:$H$10,"something wrong",0)</f>
        <v>Critical</v>
      </c>
      <c r="AH19" s="21"/>
      <c r="AI19" s="21"/>
      <c r="AJ19" s="21"/>
      <c r="AK19"/>
      <c r="AL19" s="2"/>
      <c r="AM19" s="2"/>
    </row>
    <row r="20" spans="2:39" x14ac:dyDescent="0.35">
      <c r="B20" s="2"/>
      <c r="C20"/>
      <c r="D20"/>
      <c r="E20"/>
      <c r="F20"/>
      <c r="G20"/>
      <c r="H20"/>
      <c r="I20"/>
      <c r="J20"/>
      <c r="K20" s="2"/>
      <c r="L20"/>
      <c r="M20"/>
      <c r="N20"/>
      <c r="O20"/>
      <c r="P20"/>
      <c r="Q20"/>
      <c r="R20"/>
      <c r="S20"/>
      <c r="T20" s="2"/>
      <c r="U20"/>
      <c r="V20"/>
      <c r="W20"/>
      <c r="X20"/>
      <c r="Y20"/>
      <c r="Z20"/>
      <c r="AA20"/>
      <c r="AB20"/>
      <c r="AC20" s="2"/>
      <c r="AD20"/>
      <c r="AE20"/>
      <c r="AF20"/>
      <c r="AG20"/>
      <c r="AH20"/>
      <c r="AI20"/>
      <c r="AJ20"/>
      <c r="AK20"/>
      <c r="AL20" s="2"/>
      <c r="AM20" s="2"/>
    </row>
    <row r="21" spans="2:39" x14ac:dyDescent="0.35">
      <c r="B21" s="2"/>
      <c r="C21" s="17" t="str">
        <f>_xlfn.XLOOKUP(C14,Calculations!$B$3:$B$10,Calculations!$I$3:$I$10,"something wrong",0)</f>
        <v>Total Revenue</v>
      </c>
      <c r="D21" s="17"/>
      <c r="E21" s="17"/>
      <c r="F21" s="17"/>
      <c r="G21" s="17"/>
      <c r="H21" s="17"/>
      <c r="I21" s="17"/>
      <c r="J21" s="17"/>
      <c r="K21" s="2"/>
      <c r="L21" s="17" t="str">
        <f>_xlfn.XLOOKUP(L14,Calculations!$B$3:$B$10,Calculations!$I$3:$I$10,"something wrong",0)</f>
        <v>Gross Profit/Revenue</v>
      </c>
      <c r="M21" s="17"/>
      <c r="N21" s="17"/>
      <c r="O21" s="17"/>
      <c r="P21" s="17"/>
      <c r="Q21" s="17"/>
      <c r="R21" s="17"/>
      <c r="S21" s="17"/>
      <c r="T21" s="2"/>
      <c r="U21" s="17" t="str">
        <f>_xlfn.XLOOKUP(U14,Calculations!$B$3:$B$10,Calculations!$I$3:$I$10,"something wrong",0)</f>
        <v>Net Operating Income/Revenue</v>
      </c>
      <c r="V21" s="17"/>
      <c r="W21" s="17"/>
      <c r="X21" s="17"/>
      <c r="Y21" s="17"/>
      <c r="Z21" s="17"/>
      <c r="AA21" s="17"/>
      <c r="AB21" s="17"/>
      <c r="AC21" s="2"/>
      <c r="AD21" s="17" t="str">
        <f>_xlfn.XLOOKUP(AD14,Calculations!$B$3:$B$10,Calculations!$I$3:$I$10,"something wrong",0)</f>
        <v>Net Income/Revenue</v>
      </c>
      <c r="AE21" s="17"/>
      <c r="AF21" s="17"/>
      <c r="AG21" s="17"/>
      <c r="AH21" s="17"/>
      <c r="AI21" s="17"/>
      <c r="AJ21" s="17"/>
      <c r="AK21" s="17"/>
      <c r="AL21" s="2"/>
      <c r="AM21" s="2"/>
    </row>
    <row r="22" spans="2:39" x14ac:dyDescent="0.35">
      <c r="B22" s="2"/>
      <c r="C22" s="18"/>
      <c r="D22" s="18"/>
      <c r="E22" s="18"/>
      <c r="F22" s="18"/>
      <c r="G22" s="18"/>
      <c r="H22" s="18"/>
      <c r="I22" s="18"/>
      <c r="J22" s="18"/>
      <c r="K22" s="2"/>
      <c r="L22" s="18"/>
      <c r="M22" s="18"/>
      <c r="N22" s="18"/>
      <c r="O22" s="18"/>
      <c r="P22" s="18"/>
      <c r="Q22" s="18"/>
      <c r="R22" s="18"/>
      <c r="S22" s="18"/>
      <c r="T22" s="2"/>
      <c r="U22" s="18"/>
      <c r="V22" s="18"/>
      <c r="W22" s="18"/>
      <c r="X22" s="18"/>
      <c r="Y22" s="18"/>
      <c r="Z22" s="18"/>
      <c r="AA22" s="18"/>
      <c r="AB22" s="18"/>
      <c r="AC22" s="2"/>
      <c r="AD22" s="18"/>
      <c r="AE22" s="18"/>
      <c r="AF22" s="18"/>
      <c r="AG22" s="18"/>
      <c r="AH22" s="18"/>
      <c r="AI22" s="18"/>
      <c r="AJ22" s="18"/>
      <c r="AK22" s="18"/>
      <c r="AL22" s="2"/>
      <c r="AM22" s="2"/>
    </row>
    <row r="23" spans="2:39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2:39" x14ac:dyDescent="0.35">
      <c r="B24" s="2"/>
      <c r="C24"/>
      <c r="D24"/>
      <c r="E24"/>
      <c r="F24"/>
      <c r="G24"/>
      <c r="H24"/>
      <c r="I24"/>
      <c r="J24"/>
      <c r="K24" s="2"/>
      <c r="L24"/>
      <c r="M24"/>
      <c r="N24"/>
      <c r="O24"/>
      <c r="P24"/>
      <c r="Q24"/>
      <c r="R24"/>
      <c r="S24"/>
      <c r="T24" s="2"/>
      <c r="U24"/>
      <c r="V24"/>
      <c r="W24"/>
      <c r="X24"/>
      <c r="Y24"/>
      <c r="Z24"/>
      <c r="AA24"/>
      <c r="AB24"/>
      <c r="AC24" s="2"/>
      <c r="AD24"/>
      <c r="AE24"/>
      <c r="AF24"/>
      <c r="AG24"/>
      <c r="AH24"/>
      <c r="AI24"/>
      <c r="AJ24"/>
      <c r="AK24"/>
      <c r="AL24" s="2"/>
      <c r="AM24" s="2"/>
    </row>
    <row r="25" spans="2:39" x14ac:dyDescent="0.35">
      <c r="B25" s="2"/>
      <c r="C25" s="22" t="s">
        <v>32</v>
      </c>
      <c r="D25" s="22"/>
      <c r="E25" s="22"/>
      <c r="F25" s="22"/>
      <c r="G25" s="22"/>
      <c r="H25" s="22"/>
      <c r="I25" s="22"/>
      <c r="J25" s="22"/>
      <c r="K25" s="2"/>
      <c r="L25" s="22" t="s">
        <v>145</v>
      </c>
      <c r="M25" s="22"/>
      <c r="N25" s="22"/>
      <c r="O25" s="22"/>
      <c r="P25" s="22"/>
      <c r="Q25" s="22"/>
      <c r="R25" s="22"/>
      <c r="S25" s="22"/>
      <c r="T25" s="2"/>
      <c r="U25" s="22" t="s">
        <v>34</v>
      </c>
      <c r="V25" s="22"/>
      <c r="W25" s="22"/>
      <c r="X25" s="22"/>
      <c r="Y25" s="22"/>
      <c r="Z25" s="22"/>
      <c r="AA25" s="22"/>
      <c r="AB25" s="22"/>
      <c r="AC25" s="2"/>
      <c r="AD25" s="22" t="s">
        <v>35</v>
      </c>
      <c r="AE25" s="22"/>
      <c r="AF25" s="22"/>
      <c r="AG25" s="22"/>
      <c r="AH25" s="22"/>
      <c r="AI25" s="22"/>
      <c r="AJ25" s="22"/>
      <c r="AK25" s="22"/>
      <c r="AL25" s="2"/>
      <c r="AM25" s="2"/>
    </row>
    <row r="26" spans="2:39" x14ac:dyDescent="0.35">
      <c r="B26" s="2"/>
      <c r="C26" s="19" t="str">
        <f>_xlfn.LET(_xlpm.val,_xlfn.XLOOKUP(C25,Calculations!$B$3:$B$10,Calculations!$C$3:$C$10,"something wrong",0),
  IF(ABS(_xlpm.val)&gt;1.1, TEXT(_xlpm.val, "$#,##0;($#,##0)"),
  IF(AND(ABS(_xlpm.val)&lt;1, ABS(_xlpm.val)&gt;0.001), TEXT(_xlpm.val, "0.0%;(0.0%)"),
  TEXT(_xlpm.val, "0.00;(0.00)"))))</f>
        <v>$644,809</v>
      </c>
      <c r="D26" s="19"/>
      <c r="E26" s="19"/>
      <c r="F26" s="19"/>
      <c r="G26" s="19"/>
      <c r="H26" s="69" t="str">
        <f>_xlfn.LET(_xlpm.val, _xlfn.XLOOKUP(C25,Calculations!$B$3:$B$10,Calculations!$E$3:$E$10,"something wrong",0),
  IF(ABS(_xlpm.val)&gt;1.1, TEXT(_xlpm.val, "$#,##0;($#,##0)"),
  IF(AND(ABS(_xlpm.val)&lt;1, ABS(_xlpm.val)&gt;0.001), TEXT(_xlpm.val, "0.0%;(0.0%)"),
  TEXT(_xlpm.val, "0.00;(0.00)"))))</f>
        <v>$65,348</v>
      </c>
      <c r="I26" s="69"/>
      <c r="J26" s="69"/>
      <c r="K26" s="2"/>
      <c r="L26" s="19" t="str">
        <f>_xlfn.LET(_xlpm.val,_xlfn.XLOOKUP(L25,Calculations!$B$3:$B$10,Calculations!$C$3:$C$10,"something wrong",0),
  IF(ABS(_xlpm.val)&gt;1.1, TEXT(_xlpm.val, "$#,##0;($#,##0)"),
  IF(AND(ABS(_xlpm.val)&lt;1, ABS(_xlpm.val)&gt;0.001), TEXT(_xlpm.val, "0.0%;(0.0%)"),
  TEXT(_xlpm.val, "0.00;(0.00)"))))</f>
        <v>$990,775</v>
      </c>
      <c r="M26" s="19"/>
      <c r="N26" s="19"/>
      <c r="O26" s="19"/>
      <c r="P26" s="19"/>
      <c r="Q26" s="69" t="str">
        <f>_xlfn.LET(_xlpm.val, _xlfn.XLOOKUP(L25,Calculations!$B$3:$B$10,Calculations!$E$3:$E$10,"something wrong",0),
  IF(ABS(_xlpm.val)&gt;1.1, TEXT(_xlpm.val, "$#,##0;($#,##0)"),
  IF(AND(ABS(_xlpm.val)&lt;1, ABS(_xlpm.val)&gt;0.001), TEXT(_xlpm.val, "0.0%;(0.0%)"),
  TEXT(_xlpm.val, "0.00;(0.00)"))))</f>
        <v>$358,145</v>
      </c>
      <c r="R26" s="69"/>
      <c r="S26" s="69"/>
      <c r="T26" s="2"/>
      <c r="U26" s="19" t="str">
        <f>_xlfn.LET(_xlpm.val,_xlfn.XLOOKUP(U25,Calculations!$B$3:$B$10,Calculations!$C$3:$C$10,"something wrong",0),
  IF(ABS(_xlpm.val)&gt;1.1, TEXT(_xlpm.val, "$#,##0;($#,##0)"),
  IF(AND(ABS(_xlpm.val)&lt;1, ABS(_xlpm.val)&gt;0.001), TEXT(_xlpm.val, "0.0%;(0.0%)"),
  TEXT(_xlpm.val, "0.00;(0.00)"))))</f>
        <v>$1,145,865</v>
      </c>
      <c r="V26" s="19"/>
      <c r="W26" s="19"/>
      <c r="X26" s="19"/>
      <c r="Y26" s="19"/>
      <c r="Z26" s="69" t="str">
        <f>_xlfn.LET(_xlpm.val, _xlfn.XLOOKUP(U25,Calculations!$B$3:$B$10,Calculations!$E$3:$E$10,"something wrong",0),
  IF(ABS(_xlpm.val)&gt;1.1, TEXT(_xlpm.val, "$#,##0;($#,##0)"),
  IF(AND(ABS(_xlpm.val)&lt;1, ABS(_xlpm.val)&gt;0.001), TEXT(_xlpm.val, "0.0%;(0.0%)"),
  TEXT(_xlpm.val, "0.00;(0.00)"))))</f>
        <v>($189,422)</v>
      </c>
      <c r="AA26" s="69"/>
      <c r="AB26" s="69"/>
      <c r="AC26" s="2"/>
      <c r="AD26" s="19" t="str">
        <f>_xlfn.LET(_xlpm.val,_xlfn.XLOOKUP(AD25,Calculations!$B$3:$B$10,Calculations!$C$3:$C$10,"something wrong",0),
  IF(ABS(_xlpm.val)&gt;1.1, TEXT(_xlpm.val, "$#,##0;($#,##0)"),
  IF(AND(ABS(_xlpm.val)&lt;1, ABS(_xlpm.val)&gt;0.001), TEXT(_xlpm.val, "0.0%;(0.0%)"),
  TEXT(_xlpm.val, "0.00;(0.00)"))))</f>
        <v>$769,132</v>
      </c>
      <c r="AE26" s="19"/>
      <c r="AF26" s="19"/>
      <c r="AG26" s="19"/>
      <c r="AH26" s="19"/>
      <c r="AI26" s="69" t="str">
        <f>_xlfn.LET(_xlpm.val, _xlfn.XLOOKUP(AD25,Calculations!$B$3:$B$10,Calculations!$E$3:$E$10,"something wrong",0),
  IF(ABS(_xlpm.val)&gt;1.1, TEXT(_xlpm.val, "$#,##0;($#,##0)"),
  IF(AND(ABS(_xlpm.val)&lt;1, ABS(_xlpm.val)&gt;0.001), TEXT(_xlpm.val, "0.0%;(0.0%)"),
  TEXT(_xlpm.val, "0.00;(0.00)"))))</f>
        <v>$251,071</v>
      </c>
      <c r="AJ26" s="69"/>
      <c r="AK26" s="69"/>
      <c r="AL26" s="2"/>
      <c r="AM26" s="2"/>
    </row>
    <row r="27" spans="2:39" x14ac:dyDescent="0.35">
      <c r="B27" s="2"/>
      <c r="C27" s="19"/>
      <c r="D27" s="19"/>
      <c r="E27" s="19"/>
      <c r="F27" s="19"/>
      <c r="G27" s="19"/>
      <c r="H27" s="69"/>
      <c r="I27" s="69"/>
      <c r="J27" s="69"/>
      <c r="K27" s="2"/>
      <c r="L27" s="19"/>
      <c r="M27" s="19"/>
      <c r="N27" s="19"/>
      <c r="O27" s="19"/>
      <c r="P27" s="19"/>
      <c r="Q27" s="69"/>
      <c r="R27" s="69"/>
      <c r="S27" s="69"/>
      <c r="T27" s="2"/>
      <c r="U27" s="19"/>
      <c r="V27" s="19"/>
      <c r="W27" s="19"/>
      <c r="X27" s="19"/>
      <c r="Y27" s="19"/>
      <c r="Z27" s="69"/>
      <c r="AA27" s="69"/>
      <c r="AB27" s="69"/>
      <c r="AC27" s="2"/>
      <c r="AD27" s="19"/>
      <c r="AE27" s="19"/>
      <c r="AF27" s="19"/>
      <c r="AG27" s="19"/>
      <c r="AH27" s="19"/>
      <c r="AI27" s="69"/>
      <c r="AJ27" s="69"/>
      <c r="AK27" s="69"/>
      <c r="AL27" s="2"/>
      <c r="AM27" s="2"/>
    </row>
    <row r="28" spans="2:39" x14ac:dyDescent="0.35">
      <c r="B28" s="2"/>
      <c r="C28" s="19"/>
      <c r="D28" s="19"/>
      <c r="E28" s="19"/>
      <c r="F28" s="19"/>
      <c r="G28" s="19"/>
      <c r="H28" s="69"/>
      <c r="I28" s="69"/>
      <c r="J28" s="69"/>
      <c r="K28" s="2"/>
      <c r="L28" s="19"/>
      <c r="M28" s="19"/>
      <c r="N28" s="19"/>
      <c r="O28" s="19"/>
      <c r="P28" s="19"/>
      <c r="Q28" s="69"/>
      <c r="R28" s="69"/>
      <c r="S28" s="69"/>
      <c r="T28" s="2"/>
      <c r="U28" s="19"/>
      <c r="V28" s="19"/>
      <c r="W28" s="19"/>
      <c r="X28" s="19"/>
      <c r="Y28" s="19"/>
      <c r="Z28" s="69"/>
      <c r="AA28" s="69"/>
      <c r="AB28" s="69"/>
      <c r="AC28" s="2"/>
      <c r="AD28" s="19"/>
      <c r="AE28" s="19"/>
      <c r="AF28" s="19"/>
      <c r="AG28" s="19"/>
      <c r="AH28" s="19"/>
      <c r="AI28" s="69"/>
      <c r="AJ28" s="69"/>
      <c r="AK28" s="69"/>
      <c r="AL28" s="2"/>
      <c r="AM28" s="2"/>
    </row>
    <row r="29" spans="2:39" x14ac:dyDescent="0.35">
      <c r="B29" s="2"/>
      <c r="C29"/>
      <c r="D29"/>
      <c r="E29"/>
      <c r="F29"/>
      <c r="G29"/>
      <c r="H29"/>
      <c r="I29"/>
      <c r="J29"/>
      <c r="K29" s="2"/>
      <c r="L29"/>
      <c r="M29"/>
      <c r="N29"/>
      <c r="O29"/>
      <c r="P29"/>
      <c r="Q29"/>
      <c r="R29"/>
      <c r="S29"/>
      <c r="T29" s="2"/>
      <c r="U29"/>
      <c r="V29"/>
      <c r="W29"/>
      <c r="X29"/>
      <c r="Y29"/>
      <c r="Z29"/>
      <c r="AA29"/>
      <c r="AB29"/>
      <c r="AC29" s="2"/>
      <c r="AD29"/>
      <c r="AE29"/>
      <c r="AF29"/>
      <c r="AG29"/>
      <c r="AH29"/>
      <c r="AI29"/>
      <c r="AJ29"/>
      <c r="AK29"/>
      <c r="AL29" s="2"/>
      <c r="AM29" s="2"/>
    </row>
    <row r="30" spans="2:39" x14ac:dyDescent="0.35">
      <c r="B30" s="2"/>
      <c r="C30"/>
      <c r="D30" s="20" t="s">
        <v>4</v>
      </c>
      <c r="E30" s="20"/>
      <c r="F30" s="21" t="str">
        <f>_xlfn.XLOOKUP(C25,Calculations!$B$3:$B$10,Calculations!$H$3:$H$10,"something wrong",0)</f>
        <v>Excellent</v>
      </c>
      <c r="G30" s="21"/>
      <c r="H30" s="21"/>
      <c r="I30" s="21"/>
      <c r="J30"/>
      <c r="K30" s="2"/>
      <c r="L30"/>
      <c r="M30" s="20" t="s">
        <v>4</v>
      </c>
      <c r="N30" s="20"/>
      <c r="O30" s="21" t="str">
        <f>_xlfn.XLOOKUP(L25,Calculations!$B$3:$B$10,Calculations!$H$3:$H$10,"something wrong",0)</f>
        <v>Excellent</v>
      </c>
      <c r="P30" s="21"/>
      <c r="Q30" s="21"/>
      <c r="R30" s="21"/>
      <c r="S30"/>
      <c r="T30" s="2"/>
      <c r="U30"/>
      <c r="V30" s="20" t="s">
        <v>4</v>
      </c>
      <c r="W30" s="20"/>
      <c r="X30" s="21" t="str">
        <f>_xlfn.XLOOKUP(U25,Calculations!$B$3:$B$10,Calculations!$H$3:$H$10,"something wrong",0)</f>
        <v>Critical</v>
      </c>
      <c r="Y30" s="21"/>
      <c r="Z30" s="21"/>
      <c r="AA30" s="21"/>
      <c r="AB30"/>
      <c r="AC30" s="2"/>
      <c r="AD30"/>
      <c r="AE30" s="20" t="s">
        <v>4</v>
      </c>
      <c r="AF30" s="20"/>
      <c r="AG30" s="21" t="str">
        <f>_xlfn.XLOOKUP(AD25,Calculations!$B$3:$B$10,Calculations!$H$3:$H$10,"something wrong",0)</f>
        <v>Excellent</v>
      </c>
      <c r="AH30" s="21"/>
      <c r="AI30" s="21"/>
      <c r="AJ30" s="21"/>
      <c r="AK30"/>
      <c r="AL30" s="2"/>
      <c r="AM30" s="2"/>
    </row>
    <row r="31" spans="2:39" x14ac:dyDescent="0.35">
      <c r="B31" s="2"/>
      <c r="C31"/>
      <c r="D31"/>
      <c r="E31"/>
      <c r="F31"/>
      <c r="G31"/>
      <c r="H31"/>
      <c r="I31"/>
      <c r="J31"/>
      <c r="K31" s="2"/>
      <c r="L31"/>
      <c r="M31"/>
      <c r="N31"/>
      <c r="O31"/>
      <c r="P31"/>
      <c r="Q31"/>
      <c r="R31"/>
      <c r="S31"/>
      <c r="T31" s="2"/>
      <c r="U31"/>
      <c r="V31"/>
      <c r="W31"/>
      <c r="X31"/>
      <c r="Y31"/>
      <c r="Z31"/>
      <c r="AA31"/>
      <c r="AB31"/>
      <c r="AC31" s="2"/>
      <c r="AD31"/>
      <c r="AE31"/>
      <c r="AF31"/>
      <c r="AG31"/>
      <c r="AH31"/>
      <c r="AI31"/>
      <c r="AJ31"/>
      <c r="AK31"/>
      <c r="AL31" s="2"/>
      <c r="AM31" s="2"/>
    </row>
    <row r="32" spans="2:39" x14ac:dyDescent="0.35">
      <c r="B32" s="2"/>
      <c r="C32" s="17" t="str">
        <f>_xlfn.XLOOKUP(C25,Calculations!$B$3:$B$10,Calculations!$I$3:$I$10,"something wrong",0)</f>
        <v>Current Assets-Current Liability</v>
      </c>
      <c r="D32" s="17"/>
      <c r="E32" s="17"/>
      <c r="F32" s="17"/>
      <c r="G32" s="17"/>
      <c r="H32" s="17"/>
      <c r="I32" s="17"/>
      <c r="J32" s="17"/>
      <c r="K32" s="2"/>
      <c r="L32" s="17" t="str">
        <f>_xlfn.XLOOKUP(L25,Calculations!$B$3:$B$10,Calculations!$I$3:$I$10,"something wrong",0)</f>
        <v>CF From Operation-Capex</v>
      </c>
      <c r="M32" s="17"/>
      <c r="N32" s="17"/>
      <c r="O32" s="17"/>
      <c r="P32" s="17"/>
      <c r="Q32" s="17"/>
      <c r="R32" s="17"/>
      <c r="S32" s="17"/>
      <c r="T32" s="2"/>
      <c r="U32" s="17" t="str">
        <f>_xlfn.XLOOKUP(U25,Calculations!$B$3:$B$10,Calculations!$I$3:$I$10,"something wrong",0)</f>
        <v>Total Income</v>
      </c>
      <c r="V32" s="17"/>
      <c r="W32" s="17"/>
      <c r="X32" s="17"/>
      <c r="Y32" s="17"/>
      <c r="Z32" s="17"/>
      <c r="AA32" s="17"/>
      <c r="AB32" s="17"/>
      <c r="AC32" s="2"/>
      <c r="AD32" s="17" t="str">
        <f>_xlfn.XLOOKUP(AD25,Calculations!$B$3:$B$10,Calculations!$I$3:$I$10,"something wrong",0)</f>
        <v>Cashflow From Operations</v>
      </c>
      <c r="AE32" s="17"/>
      <c r="AF32" s="17"/>
      <c r="AG32" s="17"/>
      <c r="AH32" s="17"/>
      <c r="AI32" s="17"/>
      <c r="AJ32" s="17"/>
      <c r="AK32" s="17"/>
      <c r="AL32" s="2"/>
      <c r="AM32" s="2"/>
    </row>
    <row r="33" spans="2:39" x14ac:dyDescent="0.35">
      <c r="B33" s="2"/>
      <c r="C33" s="18"/>
      <c r="D33" s="18"/>
      <c r="E33" s="18"/>
      <c r="F33" s="18"/>
      <c r="G33" s="18"/>
      <c r="H33" s="18"/>
      <c r="I33" s="18"/>
      <c r="J33" s="18"/>
      <c r="K33" s="2"/>
      <c r="L33" s="18"/>
      <c r="M33" s="18"/>
      <c r="N33" s="18"/>
      <c r="O33" s="18"/>
      <c r="P33" s="18"/>
      <c r="Q33" s="18"/>
      <c r="R33" s="18"/>
      <c r="S33" s="18"/>
      <c r="T33" s="2"/>
      <c r="U33" s="18"/>
      <c r="V33" s="18"/>
      <c r="W33" s="18"/>
      <c r="X33" s="18"/>
      <c r="Y33" s="18"/>
      <c r="Z33" s="18"/>
      <c r="AA33" s="18"/>
      <c r="AB33" s="18"/>
      <c r="AC33" s="2"/>
      <c r="AD33" s="18"/>
      <c r="AE33" s="18"/>
      <c r="AF33" s="18"/>
      <c r="AG33" s="18"/>
      <c r="AH33" s="18"/>
      <c r="AI33" s="18"/>
      <c r="AJ33" s="18"/>
      <c r="AK33" s="18"/>
      <c r="AL33" s="2"/>
      <c r="AM33" s="2"/>
    </row>
    <row r="34" spans="2:39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2:39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</sheetData>
  <mergeCells count="54">
    <mergeCell ref="C14:J14"/>
    <mergeCell ref="C15:G17"/>
    <mergeCell ref="H15:J17"/>
    <mergeCell ref="C21:J22"/>
    <mergeCell ref="F19:I19"/>
    <mergeCell ref="D19:E19"/>
    <mergeCell ref="D5:I6"/>
    <mergeCell ref="D7:H8"/>
    <mergeCell ref="AA6:AF8"/>
    <mergeCell ref="AG6:AJ8"/>
    <mergeCell ref="P6:U8"/>
    <mergeCell ref="V6:X8"/>
    <mergeCell ref="L14:S14"/>
    <mergeCell ref="L15:P17"/>
    <mergeCell ref="Q15:S17"/>
    <mergeCell ref="M19:N19"/>
    <mergeCell ref="O19:R19"/>
    <mergeCell ref="U14:AB14"/>
    <mergeCell ref="U15:Y17"/>
    <mergeCell ref="Z15:AB17"/>
    <mergeCell ref="V19:W19"/>
    <mergeCell ref="X19:AA19"/>
    <mergeCell ref="AD14:AK14"/>
    <mergeCell ref="AD15:AH17"/>
    <mergeCell ref="AI15:AK17"/>
    <mergeCell ref="AE19:AF19"/>
    <mergeCell ref="AG19:AJ19"/>
    <mergeCell ref="H26:J28"/>
    <mergeCell ref="L26:P28"/>
    <mergeCell ref="Q26:S28"/>
    <mergeCell ref="U26:Y28"/>
    <mergeCell ref="AD21:AK22"/>
    <mergeCell ref="C25:J25"/>
    <mergeCell ref="L25:S25"/>
    <mergeCell ref="U25:AB25"/>
    <mergeCell ref="AD25:AK25"/>
    <mergeCell ref="L21:S22"/>
    <mergeCell ref="U21:AB22"/>
    <mergeCell ref="C32:J33"/>
    <mergeCell ref="L32:S33"/>
    <mergeCell ref="U32:AB33"/>
    <mergeCell ref="AD32:AK33"/>
    <mergeCell ref="Z26:AB28"/>
    <mergeCell ref="AD26:AH28"/>
    <mergeCell ref="AI26:AK28"/>
    <mergeCell ref="D30:E30"/>
    <mergeCell ref="F30:I30"/>
    <mergeCell ref="M30:N30"/>
    <mergeCell ref="O30:R30"/>
    <mergeCell ref="V30:W30"/>
    <mergeCell ref="X30:AA30"/>
    <mergeCell ref="AE30:AF30"/>
    <mergeCell ref="AG30:AJ30"/>
    <mergeCell ref="C26:G28"/>
  </mergeCells>
  <conditionalFormatting sqref="D19:E19">
    <cfRule type="expression" dxfId="66" priority="65">
      <formula>F19="Critical"</formula>
    </cfRule>
    <cfRule type="expression" dxfId="65" priority="67">
      <formula>F19="Excellent"</formula>
    </cfRule>
    <cfRule type="expression" dxfId="64" priority="70">
      <formula>F19="Good"</formula>
    </cfRule>
  </conditionalFormatting>
  <conditionalFormatting sqref="D30:E30">
    <cfRule type="expression" dxfId="63" priority="34">
      <formula>F30="Critical"</formula>
    </cfRule>
    <cfRule type="expression" dxfId="62" priority="36">
      <formula>F30="Excellent"</formula>
    </cfRule>
    <cfRule type="expression" dxfId="61" priority="39">
      <formula>F30="Good"</formula>
    </cfRule>
  </conditionalFormatting>
  <conditionalFormatting sqref="D7:H8">
    <cfRule type="expression" dxfId="60" priority="61">
      <formula>D7="Critical"</formula>
    </cfRule>
    <cfRule type="expression" dxfId="59" priority="62">
      <formula>D7="Good"</formula>
    </cfRule>
    <cfRule type="expression" dxfId="58" priority="63">
      <formula>D7="Excellent"</formula>
    </cfRule>
  </conditionalFormatting>
  <conditionalFormatting sqref="F19:I19">
    <cfRule type="expression" dxfId="57" priority="64">
      <formula>F19="Critical"</formula>
    </cfRule>
    <cfRule type="expression" dxfId="56" priority="66">
      <formula>F19="Good"</formula>
    </cfRule>
    <cfRule type="expression" dxfId="55" priority="68">
      <formula>F19="Excellent"</formula>
    </cfRule>
    <cfRule type="expression" dxfId="54" priority="69">
      <formula>F19="Excellent"</formula>
    </cfRule>
  </conditionalFormatting>
  <conditionalFormatting sqref="F30:I30">
    <cfRule type="expression" dxfId="53" priority="33">
      <formula>F30="Critical"</formula>
    </cfRule>
    <cfRule type="expression" dxfId="52" priority="35">
      <formula>F30="Good"</formula>
    </cfRule>
    <cfRule type="expression" dxfId="51" priority="37">
      <formula>F30="Excellent"</formula>
    </cfRule>
    <cfRule type="expression" dxfId="50" priority="38">
      <formula>F30="Excellent"</formula>
    </cfRule>
  </conditionalFormatting>
  <conditionalFormatting sqref="M19:N19">
    <cfRule type="expression" dxfId="49" priority="55">
      <formula>O19="Critical"</formula>
    </cfRule>
    <cfRule type="expression" dxfId="48" priority="57">
      <formula>O19="Excellent"</formula>
    </cfRule>
    <cfRule type="expression" dxfId="47" priority="60">
      <formula>O19="Good"</formula>
    </cfRule>
  </conditionalFormatting>
  <conditionalFormatting sqref="M30:N30">
    <cfRule type="expression" dxfId="46" priority="27">
      <formula>O30="Critical"</formula>
    </cfRule>
    <cfRule type="expression" dxfId="45" priority="29">
      <formula>O30="Excellent"</formula>
    </cfRule>
    <cfRule type="expression" dxfId="44" priority="32">
      <formula>O30="Good"</formula>
    </cfRule>
  </conditionalFormatting>
  <conditionalFormatting sqref="O19:R19">
    <cfRule type="expression" dxfId="43" priority="54">
      <formula>O19="Critical"</formula>
    </cfRule>
    <cfRule type="expression" dxfId="42" priority="56">
      <formula>O19="Good"</formula>
    </cfRule>
    <cfRule type="expression" dxfId="41" priority="58">
      <formula>O19="Excellent"</formula>
    </cfRule>
    <cfRule type="expression" dxfId="40" priority="59">
      <formula>O19="Excellent"</formula>
    </cfRule>
  </conditionalFormatting>
  <conditionalFormatting sqref="O30:R30">
    <cfRule type="expression" dxfId="39" priority="26">
      <formula>O30="Critical"</formula>
    </cfRule>
    <cfRule type="expression" dxfId="38" priority="28">
      <formula>O30="Good"</formula>
    </cfRule>
    <cfRule type="expression" dxfId="37" priority="30">
      <formula>O30="Excellent"</formula>
    </cfRule>
    <cfRule type="expression" dxfId="36" priority="31">
      <formula>O30="Excellent"</formula>
    </cfRule>
  </conditionalFormatting>
  <conditionalFormatting sqref="V19:W19">
    <cfRule type="expression" dxfId="35" priority="48">
      <formula>X19="Critical"</formula>
    </cfRule>
    <cfRule type="expression" dxfId="34" priority="50">
      <formula>X19="Excellent"</formula>
    </cfRule>
    <cfRule type="expression" dxfId="33" priority="53">
      <formula>X19="Good"</formula>
    </cfRule>
  </conditionalFormatting>
  <conditionalFormatting sqref="V30:W30">
    <cfRule type="expression" dxfId="32" priority="20">
      <formula>X30="Critical"</formula>
    </cfRule>
    <cfRule type="expression" dxfId="31" priority="22">
      <formula>X30="Excellent"</formula>
    </cfRule>
    <cfRule type="expression" dxfId="30" priority="25">
      <formula>X30="Good"</formula>
    </cfRule>
  </conditionalFormatting>
  <conditionalFormatting sqref="X19:AA19">
    <cfRule type="expression" dxfId="29" priority="47">
      <formula>X19="Critical"</formula>
    </cfRule>
    <cfRule type="expression" dxfId="28" priority="49">
      <formula>X19="Good"</formula>
    </cfRule>
    <cfRule type="expression" dxfId="27" priority="51">
      <formula>X19="Excellent"</formula>
    </cfRule>
    <cfRule type="expression" dxfId="26" priority="52">
      <formula>X19="Excellent"</formula>
    </cfRule>
  </conditionalFormatting>
  <conditionalFormatting sqref="X30:AA30">
    <cfRule type="expression" dxfId="25" priority="19">
      <formula>X30="Critical"</formula>
    </cfRule>
    <cfRule type="expression" dxfId="24" priority="21">
      <formula>X30="Good"</formula>
    </cfRule>
    <cfRule type="expression" dxfId="23" priority="23">
      <formula>X30="Excellent"</formula>
    </cfRule>
    <cfRule type="expression" dxfId="22" priority="24">
      <formula>X30="Excellent"</formula>
    </cfRule>
  </conditionalFormatting>
  <conditionalFormatting sqref="AE19:AF19">
    <cfRule type="expression" dxfId="21" priority="41">
      <formula>AG19="Critical"</formula>
    </cfRule>
    <cfRule type="expression" dxfId="20" priority="43">
      <formula>AG19="Excellent"</formula>
    </cfRule>
    <cfRule type="expression" dxfId="19" priority="46">
      <formula>AG19="Good"</formula>
    </cfRule>
  </conditionalFormatting>
  <conditionalFormatting sqref="AE30:AF30">
    <cfRule type="expression" dxfId="18" priority="13">
      <formula>AG30="Critical"</formula>
    </cfRule>
    <cfRule type="expression" dxfId="17" priority="15">
      <formula>AG30="Excellent"</formula>
    </cfRule>
    <cfRule type="expression" dxfId="16" priority="18">
      <formula>AG30="Good"</formula>
    </cfRule>
  </conditionalFormatting>
  <conditionalFormatting sqref="AG19:AJ19">
    <cfRule type="expression" dxfId="15" priority="40">
      <formula>AG19="Critical"</formula>
    </cfRule>
    <cfRule type="expression" dxfId="14" priority="42">
      <formula>AG19="Good"</formula>
    </cfRule>
    <cfRule type="expression" dxfId="13" priority="44">
      <formula>AG19="Excellent"</formula>
    </cfRule>
    <cfRule type="expression" dxfId="12" priority="45">
      <formula>AG19="Excellent"</formula>
    </cfRule>
  </conditionalFormatting>
  <conditionalFormatting sqref="AG30:AJ30">
    <cfRule type="expression" dxfId="11" priority="12">
      <formula>AG30="Critical"</formula>
    </cfRule>
    <cfRule type="expression" dxfId="10" priority="14">
      <formula>AG30="Good"</formula>
    </cfRule>
    <cfRule type="expression" dxfId="9" priority="16">
      <formula>AG30="Excellent"</formula>
    </cfRule>
    <cfRule type="expression" dxfId="8" priority="17">
      <formula>AG30="Excellent"</formula>
    </cfRule>
  </conditionalFormatting>
  <conditionalFormatting sqref="H15">
    <cfRule type="expression" dxfId="7" priority="11">
      <formula>$H$15&lt;=0</formula>
    </cfRule>
  </conditionalFormatting>
  <conditionalFormatting sqref="Q15:S17">
    <cfRule type="expression" dxfId="6" priority="9">
      <formula>$Q$15&lt;=0</formula>
    </cfRule>
  </conditionalFormatting>
  <conditionalFormatting sqref="Z15">
    <cfRule type="expression" dxfId="5" priority="8">
      <formula>$Z$15&lt;=0</formula>
    </cfRule>
  </conditionalFormatting>
  <conditionalFormatting sqref="AI15">
    <cfRule type="expression" dxfId="4" priority="7">
      <formula>$AI$15&lt;=0</formula>
    </cfRule>
  </conditionalFormatting>
  <conditionalFormatting sqref="Z26">
    <cfRule type="expression" dxfId="3" priority="6">
      <formula>$Z$26&lt;=0</formula>
    </cfRule>
  </conditionalFormatting>
  <conditionalFormatting sqref="Q26">
    <cfRule type="expression" dxfId="2" priority="5">
      <formula>$Q$26&lt;=0</formula>
    </cfRule>
  </conditionalFormatting>
  <conditionalFormatting sqref="H26">
    <cfRule type="expression" dxfId="1" priority="4">
      <formula>$H$26&lt;=0</formula>
    </cfRule>
  </conditionalFormatting>
  <conditionalFormatting sqref="AI26:AK28">
    <cfRule type="expression" dxfId="0" priority="3">
      <formula>$AI$26&lt;=0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6EF9AA2-54B4-4B51-B886-0A9A411DD9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2C25E1-6FC0-42ED-8A02-3A0F3BFFBD94}">
          <x14:formula1>
            <xm:f>Calculations!$B$3:$B$10</xm:f>
          </x14:formula1>
          <xm:sqref>C14:J14 L14:S14 U14:AB14 AD14:AK14 C25:J25 L25:S25 U25:AB25 AD25:AK25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7D21-25EE-4823-82B3-3CA000FA8F00}">
  <dimension ref="B1:D23"/>
  <sheetViews>
    <sheetView topLeftCell="A8" workbookViewId="0">
      <selection activeCell="G7" sqref="G7"/>
    </sheetView>
  </sheetViews>
  <sheetFormatPr defaultRowHeight="14.5" x14ac:dyDescent="0.35"/>
  <cols>
    <col min="2" max="2" width="44" bestFit="1" customWidth="1"/>
    <col min="3" max="4" width="16.1796875" bestFit="1" customWidth="1"/>
  </cols>
  <sheetData>
    <row r="1" spans="2:4" ht="28" x14ac:dyDescent="0.8">
      <c r="B1" s="51" t="s">
        <v>85</v>
      </c>
    </row>
    <row r="3" spans="2:4" x14ac:dyDescent="0.35">
      <c r="B3" t="s">
        <v>36</v>
      </c>
      <c r="C3" t="s">
        <v>37</v>
      </c>
      <c r="D3" t="s">
        <v>38</v>
      </c>
    </row>
    <row r="4" spans="2:4" x14ac:dyDescent="0.35">
      <c r="B4" t="s">
        <v>39</v>
      </c>
      <c r="C4" s="27">
        <v>3486041</v>
      </c>
      <c r="D4" s="27">
        <v>2887613</v>
      </c>
    </row>
    <row r="5" spans="2:4" x14ac:dyDescent="0.35">
      <c r="B5" t="s">
        <v>40</v>
      </c>
      <c r="C5" s="27">
        <v>-2637482</v>
      </c>
      <c r="D5" s="27">
        <v>-2240075</v>
      </c>
    </row>
    <row r="6" spans="2:4" x14ac:dyDescent="0.35">
      <c r="B6" s="28" t="s">
        <v>41</v>
      </c>
      <c r="C6" s="29">
        <v>848559</v>
      </c>
      <c r="D6" s="29">
        <v>647538</v>
      </c>
    </row>
    <row r="7" spans="2:4" x14ac:dyDescent="0.35">
      <c r="B7" t="s">
        <v>42</v>
      </c>
      <c r="C7" s="27">
        <v>-213970</v>
      </c>
      <c r="D7" s="27">
        <v>-186132</v>
      </c>
    </row>
    <row r="8" spans="2:4" x14ac:dyDescent="0.35">
      <c r="B8" t="s">
        <v>43</v>
      </c>
      <c r="C8" s="27">
        <v>-33075</v>
      </c>
      <c r="D8" s="27">
        <v>-21623</v>
      </c>
    </row>
    <row r="9" spans="2:4" x14ac:dyDescent="0.35">
      <c r="B9" t="s">
        <v>44</v>
      </c>
      <c r="C9" s="27">
        <v>15573</v>
      </c>
      <c r="D9" s="27">
        <v>1788</v>
      </c>
    </row>
    <row r="10" spans="2:4" x14ac:dyDescent="0.35">
      <c r="B10" t="s">
        <v>45</v>
      </c>
      <c r="C10" s="27">
        <v>13169</v>
      </c>
      <c r="D10" s="27">
        <v>916409</v>
      </c>
    </row>
    <row r="11" spans="2:4" x14ac:dyDescent="0.35">
      <c r="B11" t="s">
        <v>46</v>
      </c>
      <c r="C11" s="27">
        <v>577535</v>
      </c>
      <c r="D11" s="27"/>
    </row>
    <row r="12" spans="2:4" x14ac:dyDescent="0.35">
      <c r="B12" t="s">
        <v>47</v>
      </c>
      <c r="C12" s="27">
        <v>23124</v>
      </c>
      <c r="D12" s="27">
        <v>73801</v>
      </c>
    </row>
    <row r="13" spans="2:4" x14ac:dyDescent="0.35">
      <c r="B13" s="28" t="s">
        <v>48</v>
      </c>
      <c r="C13" s="29">
        <v>1230915</v>
      </c>
      <c r="D13" s="29">
        <v>1431781</v>
      </c>
    </row>
    <row r="14" spans="2:4" x14ac:dyDescent="0.35">
      <c r="B14" t="s">
        <v>49</v>
      </c>
      <c r="C14" s="27">
        <v>21804</v>
      </c>
      <c r="D14" s="27">
        <v>4476</v>
      </c>
    </row>
    <row r="15" spans="2:4" x14ac:dyDescent="0.35">
      <c r="B15" t="s">
        <v>50</v>
      </c>
      <c r="C15" s="27">
        <v>-90522</v>
      </c>
      <c r="D15" s="27">
        <v>-114015</v>
      </c>
    </row>
    <row r="16" spans="2:4" x14ac:dyDescent="0.35">
      <c r="B16" t="s">
        <v>51</v>
      </c>
      <c r="C16" s="27">
        <v>-68718</v>
      </c>
      <c r="D16" s="27">
        <v>-109539</v>
      </c>
    </row>
    <row r="17" spans="2:4" x14ac:dyDescent="0.35">
      <c r="B17" t="s">
        <v>52</v>
      </c>
      <c r="C17" s="27">
        <v>1806</v>
      </c>
      <c r="D17" s="27">
        <v>1941</v>
      </c>
    </row>
    <row r="18" spans="2:4" x14ac:dyDescent="0.35">
      <c r="B18" t="s">
        <v>53</v>
      </c>
      <c r="C18" s="27">
        <v>33572</v>
      </c>
      <c r="D18" s="27">
        <v>43607</v>
      </c>
    </row>
    <row r="19" spans="2:4" x14ac:dyDescent="0.35">
      <c r="B19" s="28" t="s">
        <v>54</v>
      </c>
      <c r="C19" s="29">
        <v>1197575</v>
      </c>
      <c r="D19" s="29">
        <v>1367790</v>
      </c>
    </row>
    <row r="20" spans="2:4" x14ac:dyDescent="0.35">
      <c r="B20" t="s">
        <v>55</v>
      </c>
      <c r="C20" s="27">
        <v>-51710</v>
      </c>
      <c r="D20" s="27">
        <v>-32503</v>
      </c>
    </row>
    <row r="21" spans="2:4" x14ac:dyDescent="0.35">
      <c r="B21" s="28" t="s">
        <v>56</v>
      </c>
      <c r="C21" s="29">
        <v>1145865</v>
      </c>
      <c r="D21" s="29">
        <v>1335287</v>
      </c>
    </row>
    <row r="22" spans="2:4" x14ac:dyDescent="0.35">
      <c r="B22" t="s">
        <v>57</v>
      </c>
      <c r="C22" s="27">
        <v>1084127</v>
      </c>
      <c r="D22" s="27">
        <v>1327096</v>
      </c>
    </row>
    <row r="23" spans="2:4" x14ac:dyDescent="0.35">
      <c r="B23" t="s">
        <v>58</v>
      </c>
      <c r="C23" s="27">
        <v>61738</v>
      </c>
      <c r="D23" s="27">
        <v>8191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7096-A63B-4A50-8579-247F22D8C00E}">
  <dimension ref="A2:L202"/>
  <sheetViews>
    <sheetView topLeftCell="A38" workbookViewId="0">
      <selection activeCell="C2" sqref="C2"/>
    </sheetView>
  </sheetViews>
  <sheetFormatPr defaultRowHeight="14.5" x14ac:dyDescent="0.35"/>
  <cols>
    <col min="1" max="1" width="9.453125" style="31" customWidth="1"/>
    <col min="2" max="2" width="3.453125" style="31" customWidth="1"/>
    <col min="3" max="3" width="56.36328125" style="31" bestFit="1" customWidth="1"/>
    <col min="4" max="5" width="13.54296875" style="31" bestFit="1" customWidth="1"/>
    <col min="6" max="16384" width="8.7265625" style="31"/>
  </cols>
  <sheetData>
    <row r="2" spans="1:12" ht="28" x14ac:dyDescent="0.8">
      <c r="A2" s="30"/>
      <c r="C2" s="51" t="s">
        <v>85</v>
      </c>
    </row>
    <row r="3" spans="1:12" ht="15" x14ac:dyDescent="0.35">
      <c r="A3" s="30"/>
    </row>
    <row r="4" spans="1:12" ht="15" x14ac:dyDescent="0.35">
      <c r="A4" s="30"/>
      <c r="C4" s="46" t="s">
        <v>77</v>
      </c>
      <c r="D4" s="46" t="s">
        <v>122</v>
      </c>
      <c r="E4" s="46" t="s">
        <v>123</v>
      </c>
    </row>
    <row r="5" spans="1:12" ht="15" x14ac:dyDescent="0.35">
      <c r="A5" s="30"/>
      <c r="C5" s="45" t="s">
        <v>78</v>
      </c>
    </row>
    <row r="6" spans="1:12" ht="15" x14ac:dyDescent="0.35">
      <c r="A6" s="30"/>
      <c r="C6" s="45" t="s">
        <v>79</v>
      </c>
    </row>
    <row r="7" spans="1:12" ht="15" x14ac:dyDescent="0.35">
      <c r="A7" s="30"/>
      <c r="C7" s="31" t="s">
        <v>80</v>
      </c>
      <c r="D7" s="32">
        <v>10654377</v>
      </c>
      <c r="E7" s="33">
        <v>9796986</v>
      </c>
    </row>
    <row r="8" spans="1:12" ht="15" x14ac:dyDescent="0.35">
      <c r="A8" s="30"/>
      <c r="C8" s="31" t="s">
        <v>81</v>
      </c>
      <c r="D8" s="33">
        <v>16013</v>
      </c>
      <c r="E8" s="33">
        <v>33887</v>
      </c>
    </row>
    <row r="9" spans="1:12" ht="15" x14ac:dyDescent="0.35">
      <c r="A9" s="30"/>
      <c r="C9" s="31" t="s">
        <v>82</v>
      </c>
      <c r="D9" s="33">
        <v>18179</v>
      </c>
      <c r="E9" s="33">
        <v>18176</v>
      </c>
    </row>
    <row r="10" spans="1:12" ht="15" x14ac:dyDescent="0.35">
      <c r="A10" s="30"/>
      <c r="C10" s="31" t="s">
        <v>83</v>
      </c>
      <c r="D10" s="33">
        <v>190423</v>
      </c>
      <c r="E10" s="33">
        <v>213971</v>
      </c>
      <c r="K10" s="31">
        <v>2025</v>
      </c>
      <c r="L10" s="31">
        <v>2024</v>
      </c>
    </row>
    <row r="11" spans="1:12" ht="15" x14ac:dyDescent="0.35">
      <c r="A11" s="30"/>
      <c r="C11" s="31" t="s">
        <v>84</v>
      </c>
      <c r="D11" s="33">
        <v>21179</v>
      </c>
      <c r="E11" s="33">
        <v>21179</v>
      </c>
      <c r="J11" s="31" t="s">
        <v>85</v>
      </c>
    </row>
    <row r="12" spans="1:12" ht="15" x14ac:dyDescent="0.35">
      <c r="A12" s="30"/>
      <c r="C12" s="31" t="s">
        <v>86</v>
      </c>
      <c r="D12" s="33">
        <v>666</v>
      </c>
      <c r="E12" s="33">
        <v>792</v>
      </c>
      <c r="J12" s="31" t="s">
        <v>87</v>
      </c>
    </row>
    <row r="13" spans="1:12" ht="15" x14ac:dyDescent="0.35">
      <c r="A13" s="30"/>
      <c r="C13" s="31" t="s">
        <v>88</v>
      </c>
      <c r="D13" s="33">
        <v>1126432</v>
      </c>
      <c r="E13" s="33">
        <v>1134489</v>
      </c>
      <c r="J13" s="31" t="s">
        <v>89</v>
      </c>
    </row>
    <row r="14" spans="1:12" ht="15" x14ac:dyDescent="0.35">
      <c r="A14" s="30"/>
      <c r="C14" s="47" t="s">
        <v>79</v>
      </c>
      <c r="D14" s="48">
        <f>SUM(D7:D13)</f>
        <v>12027269</v>
      </c>
      <c r="E14" s="48">
        <f>SUM(E7:E13)</f>
        <v>11219480</v>
      </c>
    </row>
    <row r="15" spans="1:12" ht="15" x14ac:dyDescent="0.35">
      <c r="A15" s="30"/>
      <c r="C15" s="45" t="s">
        <v>90</v>
      </c>
      <c r="D15" s="34"/>
      <c r="E15" s="34"/>
    </row>
    <row r="16" spans="1:12" ht="15" x14ac:dyDescent="0.35">
      <c r="A16" s="30"/>
      <c r="C16" s="31" t="s">
        <v>91</v>
      </c>
      <c r="D16" s="33">
        <v>27727</v>
      </c>
      <c r="E16" s="33">
        <v>26152</v>
      </c>
    </row>
    <row r="17" spans="1:5" ht="15" x14ac:dyDescent="0.35">
      <c r="A17" s="30"/>
      <c r="C17" s="31" t="s">
        <v>92</v>
      </c>
      <c r="D17" s="33">
        <v>1040217</v>
      </c>
      <c r="E17" s="33">
        <v>857853</v>
      </c>
    </row>
    <row r="18" spans="1:5" ht="15" x14ac:dyDescent="0.35">
      <c r="A18" s="30"/>
      <c r="C18" s="31" t="s">
        <v>93</v>
      </c>
      <c r="D18" s="33">
        <v>317361</v>
      </c>
      <c r="E18" s="33">
        <v>401788</v>
      </c>
    </row>
    <row r="19" spans="1:5" ht="15" x14ac:dyDescent="0.35">
      <c r="A19" s="30"/>
      <c r="C19" s="31" t="s">
        <v>94</v>
      </c>
      <c r="D19" s="35"/>
      <c r="E19" s="33">
        <v>403307</v>
      </c>
    </row>
    <row r="20" spans="1:5" ht="15" x14ac:dyDescent="0.35">
      <c r="A20" s="30"/>
      <c r="C20" s="31" t="s">
        <v>95</v>
      </c>
      <c r="D20" s="33">
        <v>1095917</v>
      </c>
      <c r="E20" s="33">
        <v>571072</v>
      </c>
    </row>
    <row r="21" spans="1:5" ht="15" x14ac:dyDescent="0.35">
      <c r="A21" s="30"/>
      <c r="C21" s="47" t="s">
        <v>90</v>
      </c>
      <c r="D21" s="49">
        <f>SUM(D16:D20)</f>
        <v>2481222</v>
      </c>
      <c r="E21" s="49">
        <f>SUM(E16:E20)</f>
        <v>2260172</v>
      </c>
    </row>
    <row r="22" spans="1:5" ht="15" x14ac:dyDescent="0.35">
      <c r="A22" s="30"/>
      <c r="C22" s="47" t="s">
        <v>96</v>
      </c>
      <c r="D22" s="48">
        <f>SUM(D14,D21)</f>
        <v>14508491</v>
      </c>
      <c r="E22" s="48">
        <f>SUM(E14,E21)</f>
        <v>13479652</v>
      </c>
    </row>
    <row r="23" spans="1:5" ht="15" x14ac:dyDescent="0.35">
      <c r="A23" s="30"/>
      <c r="D23" s="34"/>
      <c r="E23" s="34"/>
    </row>
    <row r="24" spans="1:5" ht="15" x14ac:dyDescent="0.35">
      <c r="A24" s="30"/>
      <c r="C24" s="45" t="s">
        <v>97</v>
      </c>
      <c r="D24" s="34"/>
      <c r="E24" s="34"/>
    </row>
    <row r="25" spans="1:5" ht="15" x14ac:dyDescent="0.35">
      <c r="A25" s="30"/>
      <c r="C25" s="45" t="s">
        <v>98</v>
      </c>
      <c r="D25" s="34"/>
      <c r="E25" s="34"/>
    </row>
    <row r="26" spans="1:5" ht="15" x14ac:dyDescent="0.35">
      <c r="A26" s="30"/>
      <c r="C26" s="31" t="s">
        <v>99</v>
      </c>
      <c r="D26" s="33">
        <v>1260000</v>
      </c>
      <c r="E26" s="33">
        <v>1260000</v>
      </c>
    </row>
    <row r="27" spans="1:5" ht="15" x14ac:dyDescent="0.35">
      <c r="A27" s="30"/>
      <c r="C27" s="31" t="s">
        <v>100</v>
      </c>
      <c r="D27" s="33">
        <v>1000000</v>
      </c>
      <c r="E27" s="33">
        <v>1000000</v>
      </c>
    </row>
    <row r="28" spans="1:5" ht="15" x14ac:dyDescent="0.35">
      <c r="A28" s="30"/>
      <c r="C28" s="31" t="s">
        <v>101</v>
      </c>
      <c r="D28" s="33">
        <v>-53475</v>
      </c>
      <c r="E28" s="33">
        <v>-114001</v>
      </c>
    </row>
    <row r="29" spans="1:5" ht="15" x14ac:dyDescent="0.35">
      <c r="A29" s="30"/>
      <c r="C29" s="31" t="s">
        <v>102</v>
      </c>
      <c r="D29" s="33">
        <v>5739109</v>
      </c>
      <c r="E29" s="33">
        <v>5417347</v>
      </c>
    </row>
    <row r="30" spans="1:5" ht="15" x14ac:dyDescent="0.35">
      <c r="A30" s="30"/>
      <c r="C30" s="31" t="s">
        <v>103</v>
      </c>
      <c r="D30" s="33">
        <v>2690397</v>
      </c>
      <c r="E30" s="33">
        <v>1978285</v>
      </c>
    </row>
    <row r="31" spans="1:5" ht="15" x14ac:dyDescent="0.35">
      <c r="A31" s="30"/>
      <c r="C31" s="31" t="s">
        <v>104</v>
      </c>
      <c r="D31" s="33">
        <v>-5558</v>
      </c>
      <c r="E31" s="33" t="s">
        <v>105</v>
      </c>
    </row>
    <row r="32" spans="1:5" ht="15" x14ac:dyDescent="0.35">
      <c r="A32" s="30"/>
      <c r="C32" s="31" t="s">
        <v>106</v>
      </c>
      <c r="D32" s="33">
        <v>378000</v>
      </c>
      <c r="E32" s="33">
        <v>567000</v>
      </c>
    </row>
    <row r="33" spans="1:5" ht="15" x14ac:dyDescent="0.35">
      <c r="A33" s="30"/>
      <c r="C33" s="31" t="s">
        <v>107</v>
      </c>
      <c r="D33" s="33">
        <f>SUM(D26:D32)</f>
        <v>11008473</v>
      </c>
      <c r="E33" s="33">
        <f>SUM(E26:E32)</f>
        <v>10108631</v>
      </c>
    </row>
    <row r="34" spans="1:5" ht="15" x14ac:dyDescent="0.35">
      <c r="A34" s="30"/>
      <c r="C34" s="31" t="s">
        <v>108</v>
      </c>
      <c r="D34" s="33">
        <v>496820</v>
      </c>
      <c r="E34" s="33">
        <v>452614</v>
      </c>
    </row>
    <row r="35" spans="1:5" ht="15" x14ac:dyDescent="0.35">
      <c r="A35" s="30"/>
      <c r="C35" s="47" t="s">
        <v>109</v>
      </c>
      <c r="D35" s="50">
        <f>SUM(D33:D34)</f>
        <v>11505293</v>
      </c>
      <c r="E35" s="50">
        <f>SUM(E33:E34)</f>
        <v>10561245</v>
      </c>
    </row>
    <row r="36" spans="1:5" ht="15" x14ac:dyDescent="0.35">
      <c r="A36" s="30"/>
    </row>
    <row r="37" spans="1:5" ht="15" x14ac:dyDescent="0.35">
      <c r="A37" s="30"/>
      <c r="C37" s="45" t="s">
        <v>110</v>
      </c>
      <c r="D37" s="34"/>
      <c r="E37" s="34"/>
    </row>
    <row r="38" spans="1:5" ht="15" x14ac:dyDescent="0.35">
      <c r="A38" s="30"/>
      <c r="C38" s="45" t="s">
        <v>111</v>
      </c>
      <c r="D38" s="34"/>
      <c r="E38" s="34"/>
    </row>
    <row r="39" spans="1:5" ht="15" x14ac:dyDescent="0.35">
      <c r="A39" s="30"/>
      <c r="C39" s="31" t="s">
        <v>112</v>
      </c>
      <c r="D39" s="33">
        <v>894350</v>
      </c>
      <c r="E39" s="33">
        <v>998451</v>
      </c>
    </row>
    <row r="40" spans="1:5" ht="15" x14ac:dyDescent="0.35">
      <c r="A40" s="30"/>
      <c r="C40" s="31" t="s">
        <v>113</v>
      </c>
      <c r="D40" s="33">
        <v>167809</v>
      </c>
      <c r="E40" s="33">
        <v>153505</v>
      </c>
    </row>
    <row r="41" spans="1:5" ht="15" x14ac:dyDescent="0.35">
      <c r="A41" s="30"/>
      <c r="C41" s="31" t="s">
        <v>114</v>
      </c>
      <c r="D41" s="33">
        <v>97761</v>
      </c>
      <c r="E41" s="33">
        <v>70162</v>
      </c>
    </row>
    <row r="42" spans="1:5" ht="15" x14ac:dyDescent="0.35">
      <c r="A42" s="30"/>
      <c r="C42" s="31" t="s">
        <v>115</v>
      </c>
      <c r="D42" s="33">
        <v>6865</v>
      </c>
      <c r="E42" s="33">
        <v>15578</v>
      </c>
    </row>
    <row r="43" spans="1:5" ht="15" x14ac:dyDescent="0.35">
      <c r="A43" s="30"/>
      <c r="C43" s="47" t="s">
        <v>111</v>
      </c>
      <c r="D43" s="48">
        <f>SUM(D39:D42)</f>
        <v>1166785</v>
      </c>
      <c r="E43" s="48">
        <f>SUM(E39:E42)</f>
        <v>1237696</v>
      </c>
    </row>
    <row r="44" spans="1:5" ht="15" x14ac:dyDescent="0.35">
      <c r="A44" s="30"/>
      <c r="C44" s="45" t="s">
        <v>116</v>
      </c>
    </row>
    <row r="45" spans="1:5" ht="15" x14ac:dyDescent="0.35">
      <c r="A45" s="30"/>
      <c r="C45" s="31" t="s">
        <v>112</v>
      </c>
      <c r="D45" s="33">
        <v>850381</v>
      </c>
      <c r="E45" s="33">
        <v>697967</v>
      </c>
    </row>
    <row r="46" spans="1:5" ht="15" x14ac:dyDescent="0.35">
      <c r="A46" s="30"/>
      <c r="C46" s="31" t="s">
        <v>117</v>
      </c>
      <c r="D46" s="33">
        <v>55710</v>
      </c>
      <c r="E46" s="33">
        <v>42325</v>
      </c>
    </row>
    <row r="47" spans="1:5" ht="15" x14ac:dyDescent="0.35">
      <c r="A47" s="30"/>
      <c r="C47" s="31" t="s">
        <v>115</v>
      </c>
      <c r="D47" s="33">
        <v>11721</v>
      </c>
      <c r="E47" s="33">
        <v>24894</v>
      </c>
    </row>
    <row r="48" spans="1:5" ht="15" x14ac:dyDescent="0.35">
      <c r="A48" s="30"/>
      <c r="C48" s="31" t="s">
        <v>118</v>
      </c>
      <c r="D48" s="33">
        <v>918601</v>
      </c>
      <c r="E48" s="33">
        <v>915525</v>
      </c>
    </row>
    <row r="49" spans="1:5" ht="15" x14ac:dyDescent="0.35">
      <c r="A49" s="30"/>
      <c r="C49" s="47" t="s">
        <v>116</v>
      </c>
      <c r="D49" s="48">
        <f>SUM(D45:D48)</f>
        <v>1836413</v>
      </c>
      <c r="E49" s="48">
        <f>SUM(E45:E48)</f>
        <v>1680711</v>
      </c>
    </row>
    <row r="50" spans="1:5" ht="15" x14ac:dyDescent="0.35">
      <c r="A50" s="30"/>
      <c r="C50" s="47" t="s">
        <v>119</v>
      </c>
      <c r="D50" s="48">
        <f>SUM(D43,D49)</f>
        <v>3003198</v>
      </c>
      <c r="E50" s="48">
        <f>SUM(E43,E49)</f>
        <v>2918407</v>
      </c>
    </row>
    <row r="51" spans="1:5" ht="15" x14ac:dyDescent="0.35">
      <c r="A51" s="30"/>
      <c r="C51" s="47" t="s">
        <v>120</v>
      </c>
      <c r="D51" s="48">
        <f>SUM(D35,D50)</f>
        <v>14508491</v>
      </c>
      <c r="E51" s="48">
        <f>SUM(E35,E50)</f>
        <v>13479652</v>
      </c>
    </row>
    <row r="52" spans="1:5" ht="15" x14ac:dyDescent="0.35">
      <c r="A52" s="36"/>
      <c r="B52" s="36"/>
    </row>
    <row r="55" spans="1:5" x14ac:dyDescent="0.35">
      <c r="C55" s="31" t="s">
        <v>121</v>
      </c>
      <c r="D55" s="34">
        <f>D22-D51</f>
        <v>0</v>
      </c>
      <c r="E55" s="34">
        <f>E22-E51</f>
        <v>0</v>
      </c>
    </row>
    <row r="95" spans="1:1" ht="15" x14ac:dyDescent="0.35">
      <c r="A95" s="30"/>
    </row>
    <row r="96" spans="1:1" ht="15" x14ac:dyDescent="0.35">
      <c r="A96" s="30"/>
    </row>
    <row r="97" spans="1:2" ht="15" x14ac:dyDescent="0.35">
      <c r="A97" s="30"/>
    </row>
    <row r="98" spans="1:2" ht="15" x14ac:dyDescent="0.35">
      <c r="A98" s="30"/>
    </row>
    <row r="99" spans="1:2" ht="15" x14ac:dyDescent="0.35">
      <c r="A99" s="30"/>
    </row>
    <row r="100" spans="1:2" ht="15" x14ac:dyDescent="0.35">
      <c r="A100" s="30"/>
    </row>
    <row r="101" spans="1:2" ht="15" x14ac:dyDescent="0.35">
      <c r="A101" s="30"/>
    </row>
    <row r="102" spans="1:2" ht="15" x14ac:dyDescent="0.35">
      <c r="A102" s="30"/>
    </row>
    <row r="103" spans="1:2" ht="15" x14ac:dyDescent="0.35">
      <c r="A103" s="30"/>
    </row>
    <row r="104" spans="1:2" ht="15" x14ac:dyDescent="0.35">
      <c r="A104" s="30"/>
    </row>
    <row r="105" spans="1:2" ht="15" x14ac:dyDescent="0.35">
      <c r="A105" s="30"/>
    </row>
    <row r="106" spans="1:2" ht="15" x14ac:dyDescent="0.35">
      <c r="A106" s="30"/>
    </row>
    <row r="107" spans="1:2" ht="15" x14ac:dyDescent="0.35">
      <c r="A107" s="30"/>
    </row>
    <row r="108" spans="1:2" ht="15" x14ac:dyDescent="0.35">
      <c r="A108" s="37"/>
      <c r="B108" s="37"/>
    </row>
    <row r="109" spans="1:2" ht="15" x14ac:dyDescent="0.35">
      <c r="A109" s="38"/>
      <c r="B109" s="38"/>
    </row>
    <row r="110" spans="1:2" ht="15" x14ac:dyDescent="0.35">
      <c r="A110" s="39"/>
      <c r="B110" s="39"/>
    </row>
    <row r="111" spans="1:2" ht="15" x14ac:dyDescent="0.35">
      <c r="A111" s="38"/>
      <c r="B111" s="38"/>
    </row>
    <row r="112" spans="1:2" ht="15" x14ac:dyDescent="0.35">
      <c r="A112" s="39"/>
      <c r="B112" s="39"/>
    </row>
    <row r="113" spans="1:2" ht="15" x14ac:dyDescent="0.35">
      <c r="A113" s="39"/>
      <c r="B113" s="39"/>
    </row>
    <row r="114" spans="1:2" ht="15" x14ac:dyDescent="0.35">
      <c r="A114" s="38"/>
      <c r="B114" s="38"/>
    </row>
    <row r="115" spans="1:2" ht="15" x14ac:dyDescent="0.35">
      <c r="A115" s="38"/>
      <c r="B115" s="38"/>
    </row>
    <row r="116" spans="1:2" ht="15" x14ac:dyDescent="0.35">
      <c r="A116" s="38"/>
      <c r="B116" s="40"/>
    </row>
    <row r="117" spans="1:2" ht="15" x14ac:dyDescent="0.35">
      <c r="A117" s="38"/>
      <c r="B117" s="38"/>
    </row>
    <row r="118" spans="1:2" ht="15" x14ac:dyDescent="0.35">
      <c r="A118" s="38"/>
      <c r="B118" s="38"/>
    </row>
    <row r="119" spans="1:2" ht="15" x14ac:dyDescent="0.35">
      <c r="A119" s="38"/>
      <c r="B119" s="38"/>
    </row>
    <row r="120" spans="1:2" ht="15" x14ac:dyDescent="0.35">
      <c r="A120" s="39"/>
      <c r="B120" s="39"/>
    </row>
    <row r="121" spans="1:2" ht="15" x14ac:dyDescent="0.35">
      <c r="A121" s="39"/>
      <c r="B121" s="39"/>
    </row>
    <row r="122" spans="1:2" ht="15" x14ac:dyDescent="0.35">
      <c r="A122" s="38"/>
      <c r="B122" s="38"/>
    </row>
    <row r="123" spans="1:2" ht="15" x14ac:dyDescent="0.35">
      <c r="A123" s="38"/>
      <c r="B123" s="38"/>
    </row>
    <row r="124" spans="1:2" ht="15" x14ac:dyDescent="0.35">
      <c r="A124" s="38"/>
      <c r="B124" s="38"/>
    </row>
    <row r="125" spans="1:2" ht="15" x14ac:dyDescent="0.35">
      <c r="A125" s="39"/>
      <c r="B125" s="39"/>
    </row>
    <row r="126" spans="1:2" ht="15" x14ac:dyDescent="0.35">
      <c r="A126" s="38"/>
      <c r="B126" s="38"/>
    </row>
    <row r="127" spans="1:2" ht="15" x14ac:dyDescent="0.35">
      <c r="A127" s="38"/>
      <c r="B127" s="38"/>
    </row>
    <row r="128" spans="1:2" ht="15" x14ac:dyDescent="0.35">
      <c r="A128" s="38"/>
      <c r="B128" s="38"/>
    </row>
    <row r="129" spans="1:2" ht="15" x14ac:dyDescent="0.35">
      <c r="A129" s="38"/>
      <c r="B129" s="38"/>
    </row>
    <row r="131" spans="1:2" ht="15" x14ac:dyDescent="0.35">
      <c r="A131" s="30"/>
    </row>
    <row r="132" spans="1:2" ht="15" x14ac:dyDescent="0.35">
      <c r="A132" s="30"/>
    </row>
    <row r="133" spans="1:2" ht="15" x14ac:dyDescent="0.35">
      <c r="A133" s="30"/>
    </row>
    <row r="134" spans="1:2" ht="15" x14ac:dyDescent="0.35">
      <c r="A134" s="30"/>
    </row>
    <row r="135" spans="1:2" ht="15" x14ac:dyDescent="0.35">
      <c r="A135" s="30"/>
    </row>
    <row r="136" spans="1:2" ht="15" x14ac:dyDescent="0.35">
      <c r="A136" s="30"/>
    </row>
    <row r="137" spans="1:2" ht="15" x14ac:dyDescent="0.35">
      <c r="A137" s="30"/>
    </row>
    <row r="138" spans="1:2" ht="15" x14ac:dyDescent="0.35">
      <c r="A138" s="30"/>
    </row>
    <row r="139" spans="1:2" ht="15" x14ac:dyDescent="0.35">
      <c r="A139" s="30"/>
    </row>
    <row r="140" spans="1:2" ht="15" x14ac:dyDescent="0.35">
      <c r="A140" s="30"/>
    </row>
    <row r="141" spans="1:2" ht="15" x14ac:dyDescent="0.35">
      <c r="A141" s="30"/>
    </row>
    <row r="142" spans="1:2" ht="15" x14ac:dyDescent="0.35">
      <c r="A142" s="30"/>
    </row>
    <row r="143" spans="1:2" ht="15" x14ac:dyDescent="0.35">
      <c r="A143" s="30"/>
    </row>
    <row r="144" spans="1:2" ht="15" x14ac:dyDescent="0.35">
      <c r="A144" s="30"/>
    </row>
    <row r="145" spans="1:3" ht="15" x14ac:dyDescent="0.35">
      <c r="A145" s="30"/>
    </row>
    <row r="146" spans="1:3" ht="15" x14ac:dyDescent="0.35">
      <c r="A146" s="30"/>
    </row>
    <row r="147" spans="1:3" ht="15" x14ac:dyDescent="0.35">
      <c r="A147" s="30"/>
    </row>
    <row r="148" spans="1:3" ht="15" x14ac:dyDescent="0.35">
      <c r="A148" s="30"/>
    </row>
    <row r="149" spans="1:3" ht="15" x14ac:dyDescent="0.35">
      <c r="A149" s="30"/>
    </row>
    <row r="150" spans="1:3" ht="15" x14ac:dyDescent="0.35">
      <c r="A150" s="30"/>
    </row>
    <row r="151" spans="1:3" ht="15" x14ac:dyDescent="0.35">
      <c r="A151" s="30"/>
    </row>
    <row r="152" spans="1:3" ht="15" x14ac:dyDescent="0.35">
      <c r="A152" s="30"/>
    </row>
    <row r="153" spans="1:3" ht="15" x14ac:dyDescent="0.35">
      <c r="A153" s="30"/>
    </row>
    <row r="154" spans="1:3" ht="15" x14ac:dyDescent="0.35">
      <c r="A154" s="30"/>
    </row>
    <row r="155" spans="1:3" ht="15" x14ac:dyDescent="0.35">
      <c r="A155" s="41"/>
      <c r="B155" s="42"/>
      <c r="C155" s="41"/>
    </row>
    <row r="156" spans="1:3" x14ac:dyDescent="0.35">
      <c r="A156" s="42"/>
      <c r="B156" s="42"/>
      <c r="C156" s="42"/>
    </row>
    <row r="158" spans="1:3" ht="15" x14ac:dyDescent="0.35">
      <c r="A158" s="30"/>
    </row>
    <row r="159" spans="1:3" ht="15" x14ac:dyDescent="0.35">
      <c r="A159" s="30"/>
    </row>
    <row r="160" spans="1:3" ht="15" x14ac:dyDescent="0.35">
      <c r="A160" s="30"/>
    </row>
    <row r="161" spans="1:4" ht="15" x14ac:dyDescent="0.35">
      <c r="A161" s="43"/>
      <c r="B161" s="40"/>
      <c r="C161" s="43"/>
      <c r="D161" s="43"/>
    </row>
    <row r="162" spans="1:4" ht="15" x14ac:dyDescent="0.35">
      <c r="A162" s="43"/>
      <c r="B162" s="37"/>
      <c r="C162" s="37"/>
      <c r="D162" s="37"/>
    </row>
    <row r="163" spans="1:4" ht="15" x14ac:dyDescent="0.35">
      <c r="A163" s="37"/>
      <c r="B163" s="40"/>
      <c r="C163" s="38"/>
      <c r="D163" s="38"/>
    </row>
    <row r="164" spans="1:4" ht="15" x14ac:dyDescent="0.35">
      <c r="A164" s="37"/>
      <c r="B164" s="40"/>
      <c r="C164" s="40"/>
      <c r="D164" s="40"/>
    </row>
    <row r="165" spans="1:4" ht="15" x14ac:dyDescent="0.35">
      <c r="A165" s="37"/>
      <c r="B165" s="44"/>
      <c r="C165" s="38"/>
      <c r="D165" s="38"/>
    </row>
    <row r="166" spans="1:4" ht="15" x14ac:dyDescent="0.35">
      <c r="A166" s="37"/>
      <c r="B166" s="44"/>
      <c r="C166" s="38"/>
      <c r="D166" s="38"/>
    </row>
    <row r="167" spans="1:4" ht="15" x14ac:dyDescent="0.35">
      <c r="A167" s="37"/>
      <c r="B167" s="44"/>
      <c r="C167" s="39"/>
      <c r="D167" s="39"/>
    </row>
    <row r="168" spans="1:4" ht="15" x14ac:dyDescent="0.35">
      <c r="A168" s="37"/>
      <c r="B168" s="44"/>
      <c r="C168" s="39"/>
      <c r="D168" s="39"/>
    </row>
    <row r="169" spans="1:4" ht="15" x14ac:dyDescent="0.35">
      <c r="A169" s="37"/>
      <c r="B169" s="40"/>
      <c r="C169" s="38"/>
      <c r="D169" s="38"/>
    </row>
    <row r="170" spans="1:4" ht="15" x14ac:dyDescent="0.35">
      <c r="A170" s="37"/>
      <c r="B170" s="44"/>
      <c r="C170" s="39"/>
      <c r="D170" s="40"/>
    </row>
    <row r="171" spans="1:4" ht="15" x14ac:dyDescent="0.35">
      <c r="A171" s="37"/>
      <c r="B171" s="44"/>
      <c r="C171" s="38"/>
      <c r="D171" s="38"/>
    </row>
    <row r="172" spans="1:4" ht="15" x14ac:dyDescent="0.35">
      <c r="A172" s="37"/>
      <c r="B172" s="44"/>
      <c r="C172" s="38"/>
      <c r="D172" s="39"/>
    </row>
    <row r="173" spans="1:4" ht="15" x14ac:dyDescent="0.35">
      <c r="A173" s="37"/>
      <c r="B173" s="44"/>
      <c r="C173" s="39"/>
      <c r="D173" s="39"/>
    </row>
    <row r="174" spans="1:4" ht="15" x14ac:dyDescent="0.35">
      <c r="A174" s="37"/>
      <c r="B174" s="44"/>
      <c r="C174" s="38"/>
      <c r="D174" s="38"/>
    </row>
    <row r="175" spans="1:4" ht="15" x14ac:dyDescent="0.35">
      <c r="A175" s="37"/>
      <c r="B175" s="40"/>
      <c r="C175" s="39"/>
      <c r="D175" s="39"/>
    </row>
    <row r="176" spans="1:4" ht="15" x14ac:dyDescent="0.35">
      <c r="A176" s="37"/>
      <c r="B176" s="44"/>
      <c r="C176" s="39"/>
      <c r="D176" s="39"/>
    </row>
    <row r="177" spans="1:4" ht="15" x14ac:dyDescent="0.35">
      <c r="A177" s="37"/>
      <c r="B177" s="44"/>
      <c r="C177" s="38"/>
      <c r="D177" s="38"/>
    </row>
    <row r="178" spans="1:4" ht="15" x14ac:dyDescent="0.35">
      <c r="A178" s="37"/>
      <c r="B178" s="44"/>
      <c r="C178" s="39"/>
      <c r="D178" s="40"/>
    </row>
    <row r="179" spans="1:4" ht="15" x14ac:dyDescent="0.35">
      <c r="A179" s="37"/>
      <c r="B179" s="44"/>
      <c r="C179" s="38"/>
      <c r="D179" s="38"/>
    </row>
    <row r="180" spans="1:4" ht="15" x14ac:dyDescent="0.35">
      <c r="A180" s="37"/>
      <c r="B180" s="40"/>
      <c r="C180" s="44"/>
      <c r="D180" s="44"/>
    </row>
    <row r="181" spans="1:4" ht="15" x14ac:dyDescent="0.35">
      <c r="A181" s="37"/>
      <c r="B181" s="40"/>
      <c r="C181" s="38"/>
      <c r="D181" s="38"/>
    </row>
    <row r="182" spans="1:4" ht="15" x14ac:dyDescent="0.35">
      <c r="A182" s="37"/>
      <c r="B182" s="44"/>
      <c r="C182" s="39"/>
      <c r="D182" s="39"/>
    </row>
    <row r="183" spans="1:4" ht="15" x14ac:dyDescent="0.35">
      <c r="A183" s="37"/>
      <c r="B183" s="44"/>
      <c r="C183" s="39"/>
      <c r="D183" s="40"/>
    </row>
    <row r="184" spans="1:4" ht="15" x14ac:dyDescent="0.35">
      <c r="A184" s="37"/>
      <c r="B184" s="40"/>
      <c r="C184" s="40"/>
      <c r="D184" s="40"/>
    </row>
    <row r="185" spans="1:4" ht="15" x14ac:dyDescent="0.35">
      <c r="A185" s="37"/>
      <c r="B185" s="40"/>
      <c r="C185" s="39"/>
      <c r="D185" s="39"/>
    </row>
    <row r="186" spans="1:4" ht="15" x14ac:dyDescent="0.35">
      <c r="A186" s="37"/>
      <c r="B186" s="40"/>
      <c r="C186" s="39"/>
      <c r="D186" s="38"/>
    </row>
    <row r="187" spans="1:4" ht="15" x14ac:dyDescent="0.35">
      <c r="A187" s="37"/>
      <c r="B187" s="40"/>
      <c r="C187" s="39"/>
      <c r="D187" s="39"/>
    </row>
    <row r="188" spans="1:4" ht="15" x14ac:dyDescent="0.35">
      <c r="A188" s="37"/>
      <c r="B188" s="40"/>
      <c r="C188" s="38"/>
      <c r="D188" s="38"/>
    </row>
    <row r="189" spans="1:4" ht="15" x14ac:dyDescent="0.35">
      <c r="A189" s="37"/>
      <c r="B189" s="40"/>
      <c r="C189" s="40"/>
      <c r="D189" s="40"/>
    </row>
    <row r="190" spans="1:4" ht="15" x14ac:dyDescent="0.35">
      <c r="A190" s="37"/>
      <c r="B190" s="44"/>
      <c r="C190" s="39"/>
      <c r="D190" s="39"/>
    </row>
    <row r="191" spans="1:4" ht="15" x14ac:dyDescent="0.35">
      <c r="A191" s="37"/>
      <c r="B191" s="40"/>
      <c r="C191" s="38"/>
      <c r="D191" s="38"/>
    </row>
    <row r="192" spans="1:4" ht="15" x14ac:dyDescent="0.35">
      <c r="A192" s="37"/>
      <c r="B192" s="40"/>
      <c r="C192" s="39"/>
      <c r="D192" s="38"/>
    </row>
    <row r="193" spans="1:4" ht="15" x14ac:dyDescent="0.35">
      <c r="A193" s="37"/>
      <c r="B193" s="44"/>
      <c r="C193" s="38"/>
      <c r="D193" s="40"/>
    </row>
    <row r="194" spans="1:4" ht="15" x14ac:dyDescent="0.35">
      <c r="A194" s="37"/>
      <c r="B194" s="44"/>
      <c r="C194" s="40"/>
      <c r="D194" s="39"/>
    </row>
    <row r="195" spans="1:4" ht="15" x14ac:dyDescent="0.35">
      <c r="A195" s="37"/>
      <c r="B195" s="37"/>
      <c r="C195" s="38"/>
      <c r="D195" s="38"/>
    </row>
    <row r="196" spans="1:4" ht="15" x14ac:dyDescent="0.35">
      <c r="A196" s="37"/>
      <c r="B196" s="44"/>
      <c r="C196" s="40"/>
      <c r="D196" s="39"/>
    </row>
    <row r="197" spans="1:4" ht="15" x14ac:dyDescent="0.35">
      <c r="A197" s="37"/>
      <c r="B197" s="44"/>
      <c r="C197" s="40"/>
      <c r="D197" s="39"/>
    </row>
    <row r="198" spans="1:4" ht="15" x14ac:dyDescent="0.35">
      <c r="A198" s="37"/>
      <c r="B198" s="40"/>
      <c r="C198" s="38"/>
      <c r="D198" s="40"/>
    </row>
    <row r="199" spans="1:4" ht="15" x14ac:dyDescent="0.35">
      <c r="A199" s="37"/>
      <c r="B199" s="40"/>
      <c r="C199" s="38"/>
      <c r="D199" s="38"/>
    </row>
    <row r="200" spans="1:4" ht="15" x14ac:dyDescent="0.35">
      <c r="A200" s="37"/>
      <c r="B200" s="40"/>
      <c r="C200" s="38"/>
      <c r="D200" s="39"/>
    </row>
    <row r="202" spans="1:4" ht="15" x14ac:dyDescent="0.35">
      <c r="A202" s="30"/>
    </row>
  </sheetData>
  <mergeCells count="2">
    <mergeCell ref="A161:A162"/>
    <mergeCell ref="C161:D161"/>
  </mergeCells>
  <pageMargins left="1.25" right="1.25" top="1" bottom="0.79166666666666696" header="0.25" footer="0.2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A88D-F468-499D-A823-C026BE916743}">
  <dimension ref="C1:E41"/>
  <sheetViews>
    <sheetView topLeftCell="A30" workbookViewId="0">
      <selection activeCell="E30" sqref="E30"/>
    </sheetView>
  </sheetViews>
  <sheetFormatPr defaultRowHeight="13" x14ac:dyDescent="0.35"/>
  <cols>
    <col min="1" max="2" width="8.7265625" style="52"/>
    <col min="3" max="3" width="92.54296875" style="52" bestFit="1" customWidth="1"/>
    <col min="4" max="4" width="14.54296875" style="52" bestFit="1" customWidth="1"/>
    <col min="5" max="5" width="14.08984375" style="52" bestFit="1" customWidth="1"/>
    <col min="6" max="16384" width="8.7265625" style="52"/>
  </cols>
  <sheetData>
    <row r="1" spans="3:5" ht="28" x14ac:dyDescent="0.8">
      <c r="C1" s="51" t="s">
        <v>85</v>
      </c>
    </row>
    <row r="3" spans="3:5" ht="27" customHeight="1" x14ac:dyDescent="0.35">
      <c r="C3" s="56" t="s">
        <v>124</v>
      </c>
      <c r="D3" s="57" t="s">
        <v>125</v>
      </c>
      <c r="E3" s="57" t="s">
        <v>126</v>
      </c>
    </row>
    <row r="4" spans="3:5" x14ac:dyDescent="0.35">
      <c r="C4" s="55" t="s">
        <v>54</v>
      </c>
      <c r="D4" s="58">
        <v>1197575</v>
      </c>
      <c r="E4" s="58">
        <v>1367790</v>
      </c>
    </row>
    <row r="5" spans="3:5" x14ac:dyDescent="0.35">
      <c r="C5" s="55" t="s">
        <v>127</v>
      </c>
      <c r="D5" s="53"/>
      <c r="E5" s="53"/>
    </row>
    <row r="6" spans="3:5" x14ac:dyDescent="0.35">
      <c r="C6" s="52" t="s">
        <v>128</v>
      </c>
      <c r="D6" s="54">
        <v>260618</v>
      </c>
      <c r="E6" s="53">
        <v>263788</v>
      </c>
    </row>
    <row r="7" spans="3:5" x14ac:dyDescent="0.35">
      <c r="C7" s="52" t="s">
        <v>59</v>
      </c>
      <c r="D7" s="53">
        <v>34715</v>
      </c>
      <c r="E7" s="53">
        <v>34361</v>
      </c>
    </row>
    <row r="8" spans="3:5" x14ac:dyDescent="0.35">
      <c r="C8" s="52" t="s">
        <v>53</v>
      </c>
      <c r="D8" s="53">
        <v>-33572</v>
      </c>
      <c r="E8" s="53">
        <v>-43607</v>
      </c>
    </row>
    <row r="9" spans="3:5" x14ac:dyDescent="0.35">
      <c r="C9" s="52" t="s">
        <v>52</v>
      </c>
      <c r="D9" s="53">
        <v>-1806</v>
      </c>
      <c r="E9" s="53">
        <v>-1941</v>
      </c>
    </row>
    <row r="10" spans="3:5" x14ac:dyDescent="0.35">
      <c r="C10" s="52" t="s">
        <v>60</v>
      </c>
      <c r="D10" s="53">
        <v>33075</v>
      </c>
      <c r="E10" s="53">
        <v>21623</v>
      </c>
    </row>
    <row r="11" spans="3:5" x14ac:dyDescent="0.35">
      <c r="C11" s="52" t="s">
        <v>61</v>
      </c>
      <c r="D11" s="53">
        <v>-577535</v>
      </c>
      <c r="E11" s="53" t="s">
        <v>129</v>
      </c>
    </row>
    <row r="12" spans="3:5" x14ac:dyDescent="0.35">
      <c r="C12" s="52" t="s">
        <v>62</v>
      </c>
      <c r="D12" s="53">
        <v>33344</v>
      </c>
      <c r="E12" s="53">
        <v>33939</v>
      </c>
    </row>
    <row r="13" spans="3:5" x14ac:dyDescent="0.35">
      <c r="C13" s="52" t="s">
        <v>63</v>
      </c>
      <c r="D13" s="53">
        <v>8560</v>
      </c>
      <c r="E13" s="53">
        <v>-67064</v>
      </c>
    </row>
    <row r="14" spans="3:5" x14ac:dyDescent="0.35">
      <c r="C14" s="52" t="s">
        <v>130</v>
      </c>
      <c r="D14" s="53">
        <v>-15573</v>
      </c>
      <c r="E14" s="53">
        <v>-1788</v>
      </c>
    </row>
    <row r="15" spans="3:5" x14ac:dyDescent="0.35">
      <c r="C15" s="52" t="s">
        <v>50</v>
      </c>
      <c r="D15" s="53">
        <v>90522</v>
      </c>
      <c r="E15" s="53">
        <v>114015</v>
      </c>
    </row>
    <row r="16" spans="3:5" x14ac:dyDescent="0.35">
      <c r="C16" s="52" t="s">
        <v>49</v>
      </c>
      <c r="D16" s="53">
        <v>-21804</v>
      </c>
      <c r="E16" s="53">
        <v>-4476</v>
      </c>
    </row>
    <row r="17" spans="3:5" x14ac:dyDescent="0.35">
      <c r="C17" s="52" t="s">
        <v>45</v>
      </c>
      <c r="D17" s="53">
        <v>-13169</v>
      </c>
      <c r="E17" s="53">
        <v>-916409</v>
      </c>
    </row>
    <row r="18" spans="3:5" x14ac:dyDescent="0.35">
      <c r="C18" s="52" t="s">
        <v>64</v>
      </c>
      <c r="D18" s="53">
        <v>1224</v>
      </c>
      <c r="E18" s="53">
        <v>1235</v>
      </c>
    </row>
    <row r="19" spans="3:5" x14ac:dyDescent="0.35">
      <c r="C19" s="52" t="s">
        <v>65</v>
      </c>
      <c r="D19" s="53">
        <v>-4290</v>
      </c>
      <c r="E19" s="53" t="s">
        <v>129</v>
      </c>
    </row>
    <row r="20" spans="3:5" x14ac:dyDescent="0.35">
      <c r="C20" s="52" t="s">
        <v>66</v>
      </c>
      <c r="D20" s="53">
        <v>41801</v>
      </c>
      <c r="E20" s="53">
        <v>30667</v>
      </c>
    </row>
    <row r="21" spans="3:5" x14ac:dyDescent="0.35">
      <c r="C21" s="52" t="s">
        <v>67</v>
      </c>
      <c r="D21" s="53">
        <v>126</v>
      </c>
      <c r="E21" s="53">
        <v>280</v>
      </c>
    </row>
    <row r="22" spans="3:5" x14ac:dyDescent="0.35">
      <c r="C22" s="59" t="s">
        <v>131</v>
      </c>
      <c r="D22" s="60">
        <v>1033811</v>
      </c>
      <c r="E22" s="60">
        <v>832413</v>
      </c>
    </row>
    <row r="23" spans="3:5" x14ac:dyDescent="0.35">
      <c r="C23" s="52" t="s">
        <v>68</v>
      </c>
      <c r="D23" s="53">
        <v>-28991</v>
      </c>
      <c r="E23" s="53">
        <v>-25570</v>
      </c>
    </row>
    <row r="24" spans="3:5" x14ac:dyDescent="0.35">
      <c r="C24" s="52" t="s">
        <v>69</v>
      </c>
      <c r="D24" s="53">
        <v>-42792</v>
      </c>
      <c r="E24" s="53" t="s">
        <v>129</v>
      </c>
    </row>
    <row r="25" spans="3:5" x14ac:dyDescent="0.35">
      <c r="C25" s="55" t="s">
        <v>132</v>
      </c>
      <c r="D25" s="53"/>
      <c r="E25" s="53"/>
    </row>
    <row r="26" spans="3:5" x14ac:dyDescent="0.35">
      <c r="C26" s="52" t="s">
        <v>133</v>
      </c>
      <c r="D26" s="53">
        <v>-2799</v>
      </c>
      <c r="E26" s="53">
        <v>-3612</v>
      </c>
    </row>
    <row r="27" spans="3:5" x14ac:dyDescent="0.35">
      <c r="C27" s="52" t="s">
        <v>70</v>
      </c>
      <c r="D27" s="53">
        <v>-123632</v>
      </c>
      <c r="E27" s="53">
        <v>37580</v>
      </c>
    </row>
    <row r="28" spans="3:5" x14ac:dyDescent="0.35">
      <c r="C28" s="52" t="s">
        <v>71</v>
      </c>
      <c r="D28" s="53">
        <v>-66465</v>
      </c>
      <c r="E28" s="53">
        <v>-322750</v>
      </c>
    </row>
    <row r="29" spans="3:5" x14ac:dyDescent="0.35">
      <c r="C29" s="59" t="s">
        <v>72</v>
      </c>
      <c r="D29" s="60">
        <v>769132</v>
      </c>
      <c r="E29" s="60">
        <v>518061</v>
      </c>
    </row>
    <row r="30" spans="3:5" x14ac:dyDescent="0.35">
      <c r="C30" s="52" t="s">
        <v>134</v>
      </c>
      <c r="D30" s="53"/>
      <c r="E30" s="53"/>
    </row>
    <row r="31" spans="3:5" x14ac:dyDescent="0.35">
      <c r="C31" s="52" t="s">
        <v>135</v>
      </c>
      <c r="D31" s="53">
        <v>-221643</v>
      </c>
      <c r="E31" s="53">
        <v>-114569</v>
      </c>
    </row>
    <row r="32" spans="3:5" x14ac:dyDescent="0.35">
      <c r="C32" s="52" t="s">
        <v>73</v>
      </c>
      <c r="D32" s="53">
        <v>12866</v>
      </c>
      <c r="E32" s="53">
        <v>40327</v>
      </c>
    </row>
    <row r="33" spans="3:5" x14ac:dyDescent="0.35">
      <c r="C33" s="52" t="s">
        <v>136</v>
      </c>
      <c r="D33" s="53">
        <v>-2138</v>
      </c>
      <c r="E33" s="53">
        <v>76653</v>
      </c>
    </row>
    <row r="34" spans="3:5" x14ac:dyDescent="0.35">
      <c r="C34" s="52" t="s">
        <v>74</v>
      </c>
      <c r="D34" s="53">
        <v>100000</v>
      </c>
      <c r="E34" s="53" t="s">
        <v>129</v>
      </c>
    </row>
    <row r="35" spans="3:5" x14ac:dyDescent="0.35">
      <c r="C35" s="52" t="s">
        <v>75</v>
      </c>
      <c r="D35" s="53" t="s">
        <v>129</v>
      </c>
      <c r="E35" s="53">
        <v>-30000</v>
      </c>
    </row>
    <row r="36" spans="3:5" x14ac:dyDescent="0.35">
      <c r="C36" s="52" t="s">
        <v>137</v>
      </c>
      <c r="D36" s="53">
        <v>47015</v>
      </c>
      <c r="E36" s="53">
        <v>155684</v>
      </c>
    </row>
    <row r="37" spans="3:5" x14ac:dyDescent="0.35">
      <c r="C37" s="52" t="s">
        <v>138</v>
      </c>
      <c r="D37" s="53" t="s">
        <v>129</v>
      </c>
      <c r="E37" s="53">
        <v>-400000</v>
      </c>
    </row>
    <row r="38" spans="3:5" x14ac:dyDescent="0.35">
      <c r="C38" s="52" t="s">
        <v>139</v>
      </c>
      <c r="D38" s="53" t="s">
        <v>129</v>
      </c>
      <c r="E38" s="53">
        <v>-400000</v>
      </c>
    </row>
    <row r="39" spans="3:5" x14ac:dyDescent="0.35">
      <c r="C39" s="52" t="s">
        <v>140</v>
      </c>
      <c r="D39" s="53">
        <v>400000</v>
      </c>
      <c r="E39" s="53" t="s">
        <v>129</v>
      </c>
    </row>
    <row r="40" spans="3:5" x14ac:dyDescent="0.35">
      <c r="C40" s="52" t="s">
        <v>76</v>
      </c>
      <c r="D40" s="53" t="s">
        <v>141</v>
      </c>
      <c r="E40" s="53" t="s">
        <v>142</v>
      </c>
    </row>
    <row r="41" spans="3:5" x14ac:dyDescent="0.35">
      <c r="C41" s="59" t="s">
        <v>143</v>
      </c>
      <c r="D41" s="60" t="s">
        <v>144</v>
      </c>
      <c r="E41" s="60">
        <v>-670736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8B5B0-0077-4FC1-ABC6-20B23F5969D6}">
  <dimension ref="A2:N38"/>
  <sheetViews>
    <sheetView workbookViewId="0">
      <selection activeCell="D27" sqref="D27"/>
    </sheetView>
  </sheetViews>
  <sheetFormatPr defaultRowHeight="14.5" x14ac:dyDescent="0.35"/>
  <cols>
    <col min="2" max="2" width="23.54296875" customWidth="1"/>
    <col min="3" max="3" width="16.26953125" bestFit="1" customWidth="1"/>
    <col min="4" max="4" width="10.90625" bestFit="1" customWidth="1"/>
    <col min="5" max="5" width="12.453125" customWidth="1"/>
    <col min="6" max="6" width="12" bestFit="1" customWidth="1"/>
    <col min="7" max="7" width="10.90625" bestFit="1" customWidth="1"/>
    <col min="8" max="8" width="8.1796875" bestFit="1" customWidth="1"/>
    <col min="9" max="9" width="29.453125" bestFit="1" customWidth="1"/>
    <col min="10" max="10" width="9.453125" bestFit="1" customWidth="1"/>
    <col min="11" max="11" width="29.453125" bestFit="1" customWidth="1"/>
    <col min="12" max="12" width="12.453125" bestFit="1" customWidth="1"/>
  </cols>
  <sheetData>
    <row r="2" spans="2:14" x14ac:dyDescent="0.35">
      <c r="B2" s="4" t="s">
        <v>7</v>
      </c>
      <c r="C2" s="4" t="s">
        <v>17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148</v>
      </c>
    </row>
    <row r="3" spans="2:14" x14ac:dyDescent="0.35">
      <c r="B3" s="5" t="s">
        <v>5</v>
      </c>
      <c r="C3" s="11">
        <f>'Income statement'!C4</f>
        <v>3486041</v>
      </c>
      <c r="D3" s="11">
        <f>'Income statement'!D4</f>
        <v>2887613</v>
      </c>
      <c r="E3" s="63">
        <f>C3-D3</f>
        <v>598428</v>
      </c>
      <c r="F3" s="12">
        <f>D3*0.9</f>
        <v>2598851.7000000002</v>
      </c>
      <c r="G3" s="13">
        <f>D3*1.05</f>
        <v>3031993.65</v>
      </c>
      <c r="H3" s="6" t="str">
        <f>IF(C3&lt;=F3,"Critical",IF(C3&lt;=G3,"Good","Excellent"))</f>
        <v>Excellent</v>
      </c>
      <c r="I3" s="8" t="s">
        <v>146</v>
      </c>
      <c r="J3" s="64">
        <f>E3/C3</f>
        <v>0.17166407394520031</v>
      </c>
    </row>
    <row r="4" spans="2:14" x14ac:dyDescent="0.35">
      <c r="B4" s="5" t="s">
        <v>14</v>
      </c>
      <c r="C4" s="9">
        <f>'Income statement'!C6/'Income statement'!C4</f>
        <v>0.24341624209239077</v>
      </c>
      <c r="D4" s="9">
        <f>'Income statement'!D6/'Income statement'!D4</f>
        <v>0.22424680869631769</v>
      </c>
      <c r="E4" s="10">
        <f t="shared" ref="E4:E9" si="0">C4-D4</f>
        <v>1.9169433396073077E-2</v>
      </c>
      <c r="F4" s="70">
        <f t="shared" ref="F4:F10" si="1">D4*0.9</f>
        <v>0.20182212782668593</v>
      </c>
      <c r="G4" s="71">
        <f t="shared" ref="G4:G10" si="2">D4*1.05</f>
        <v>0.23545914913113358</v>
      </c>
      <c r="H4" s="6" t="str">
        <f t="shared" ref="H4:H9" si="3">IF(C4&lt;=F4,"Critical",IF(C4&lt;=G4,"Good","Excellent"))</f>
        <v>Excellent</v>
      </c>
      <c r="I4" s="8" t="s">
        <v>18</v>
      </c>
      <c r="J4" s="64">
        <f t="shared" ref="J4:J10" si="4">E4/C4</f>
        <v>7.8751661069507234E-2</v>
      </c>
    </row>
    <row r="5" spans="2:14" x14ac:dyDescent="0.35">
      <c r="B5" s="5" t="s">
        <v>15</v>
      </c>
      <c r="C5" s="9">
        <f>'Income statement'!C13/'Income statement'!C4</f>
        <v>0.35309825673306766</v>
      </c>
      <c r="D5" s="9">
        <f>'Income statement'!D13/'Income statement'!D4</f>
        <v>0.49583548765018026</v>
      </c>
      <c r="E5" s="10">
        <f t="shared" si="0"/>
        <v>-0.1427372309171126</v>
      </c>
      <c r="F5" s="70">
        <f t="shared" si="1"/>
        <v>0.44625193888516224</v>
      </c>
      <c r="G5" s="71">
        <f t="shared" si="2"/>
        <v>0.52062726203268928</v>
      </c>
      <c r="H5" s="6" t="str">
        <f t="shared" si="3"/>
        <v>Critical</v>
      </c>
      <c r="I5" s="8" t="s">
        <v>19</v>
      </c>
      <c r="J5" s="64">
        <f t="shared" si="4"/>
        <v>-0.40424224191233527</v>
      </c>
    </row>
    <row r="6" spans="2:14" x14ac:dyDescent="0.35">
      <c r="B6" s="5" t="s">
        <v>16</v>
      </c>
      <c r="C6" s="9">
        <f>'Income statement'!C21/'Income statement'!C4</f>
        <v>0.32870095331638383</v>
      </c>
      <c r="D6" s="9">
        <f>'Income statement'!D21/'Income statement'!D4</f>
        <v>0.46241895988139686</v>
      </c>
      <c r="E6" s="10">
        <f t="shared" si="0"/>
        <v>-0.13371800656501304</v>
      </c>
      <c r="F6" s="70">
        <f t="shared" si="1"/>
        <v>0.4161770638932572</v>
      </c>
      <c r="G6" s="71">
        <f t="shared" si="2"/>
        <v>0.48553990787546675</v>
      </c>
      <c r="H6" s="6" t="str">
        <f t="shared" si="3"/>
        <v>Critical</v>
      </c>
      <c r="I6" s="8" t="s">
        <v>20</v>
      </c>
      <c r="J6" s="64">
        <f t="shared" si="4"/>
        <v>-0.40680748022140883</v>
      </c>
    </row>
    <row r="7" spans="2:14" x14ac:dyDescent="0.35">
      <c r="B7" s="5" t="s">
        <v>32</v>
      </c>
      <c r="C7" s="11">
        <f>'Balance Sheet'!D21-'Balance Sheet'!D49</f>
        <v>644809</v>
      </c>
      <c r="D7" s="11">
        <f>'Balance Sheet'!E21-'Balance Sheet'!E49</f>
        <v>579461</v>
      </c>
      <c r="E7" s="63">
        <f t="shared" si="0"/>
        <v>65348</v>
      </c>
      <c r="F7" s="12">
        <f t="shared" si="1"/>
        <v>521514.9</v>
      </c>
      <c r="G7" s="13">
        <f t="shared" si="2"/>
        <v>608434.05000000005</v>
      </c>
      <c r="H7" s="6" t="str">
        <f>IF(C7&lt;=F7,"Critical",IF(C7&lt;=G7,"Good","Excellent"))</f>
        <v>Excellent</v>
      </c>
      <c r="I7" s="8" t="s">
        <v>33</v>
      </c>
      <c r="J7" s="64">
        <f t="shared" si="4"/>
        <v>0.10134473929489198</v>
      </c>
    </row>
    <row r="8" spans="2:14" x14ac:dyDescent="0.35">
      <c r="B8" s="5" t="s">
        <v>145</v>
      </c>
      <c r="C8" s="11">
        <f>Cashflow!D29-Cashflow!D31</f>
        <v>990775</v>
      </c>
      <c r="D8" s="11">
        <f>Cashflow!E29-Cashflow!E31</f>
        <v>632630</v>
      </c>
      <c r="E8" s="63">
        <f t="shared" si="0"/>
        <v>358145</v>
      </c>
      <c r="F8" s="12">
        <f t="shared" si="1"/>
        <v>569367</v>
      </c>
      <c r="G8" s="13">
        <f t="shared" si="2"/>
        <v>664261.5</v>
      </c>
      <c r="H8" s="6" t="str">
        <f t="shared" si="3"/>
        <v>Excellent</v>
      </c>
      <c r="I8" s="8" t="s">
        <v>147</v>
      </c>
      <c r="J8" s="64">
        <f t="shared" si="4"/>
        <v>0.36147964976912011</v>
      </c>
    </row>
    <row r="9" spans="2:14" x14ac:dyDescent="0.35">
      <c r="B9" s="5" t="s">
        <v>34</v>
      </c>
      <c r="C9" s="11">
        <f>'Income statement'!C21</f>
        <v>1145865</v>
      </c>
      <c r="D9" s="11">
        <f>'Income statement'!D21</f>
        <v>1335287</v>
      </c>
      <c r="E9" s="63">
        <f t="shared" si="0"/>
        <v>-189422</v>
      </c>
      <c r="F9" s="12">
        <f t="shared" si="1"/>
        <v>1201758.3</v>
      </c>
      <c r="G9" s="13">
        <f t="shared" si="2"/>
        <v>1402051.35</v>
      </c>
      <c r="H9" s="6" t="str">
        <f t="shared" si="3"/>
        <v>Critical</v>
      </c>
      <c r="I9" s="8" t="s">
        <v>6</v>
      </c>
      <c r="J9" s="64">
        <f t="shared" si="4"/>
        <v>-0.16530917691001995</v>
      </c>
    </row>
    <row r="10" spans="2:14" x14ac:dyDescent="0.35">
      <c r="B10" s="7" t="s">
        <v>35</v>
      </c>
      <c r="C10" s="61">
        <f>Cashflow!D29</f>
        <v>769132</v>
      </c>
      <c r="D10" s="61">
        <f>Cashflow!E29</f>
        <v>518061</v>
      </c>
      <c r="E10" s="63">
        <f>C10-D10</f>
        <v>251071</v>
      </c>
      <c r="F10" s="12">
        <f t="shared" si="1"/>
        <v>466254.9</v>
      </c>
      <c r="G10" s="13">
        <f t="shared" si="2"/>
        <v>543964.05000000005</v>
      </c>
      <c r="H10" s="6" t="str">
        <f>IF(C10&lt;=F10,"Critical",IF(C10&lt;=G10,"Good","Excellent"))</f>
        <v>Excellent</v>
      </c>
      <c r="I10" s="16" t="s">
        <v>35</v>
      </c>
      <c r="J10" s="64">
        <f t="shared" si="4"/>
        <v>0.32643421415309726</v>
      </c>
    </row>
    <row r="13" spans="2:14" x14ac:dyDescent="0.35">
      <c r="L13" t="s">
        <v>31</v>
      </c>
    </row>
    <row r="14" spans="2:14" x14ac:dyDescent="0.35">
      <c r="B14" s="66"/>
      <c r="C14" s="66"/>
      <c r="E14" s="4" t="s">
        <v>12</v>
      </c>
      <c r="F14" s="4" t="s">
        <v>25</v>
      </c>
      <c r="H14" s="4" t="s">
        <v>26</v>
      </c>
      <c r="I14" s="4" t="s">
        <v>27</v>
      </c>
      <c r="L14" s="15" t="s">
        <v>28</v>
      </c>
      <c r="M14" s="15"/>
      <c r="N14" s="15"/>
    </row>
    <row r="15" spans="2:14" ht="28" x14ac:dyDescent="0.8">
      <c r="B15" s="51" t="s">
        <v>85</v>
      </c>
      <c r="C15" s="66"/>
      <c r="E15" s="6" t="s">
        <v>1</v>
      </c>
      <c r="F15" s="6">
        <v>0</v>
      </c>
      <c r="H15" s="6" t="s">
        <v>10</v>
      </c>
      <c r="I15" s="6">
        <f>COUNTIFS($H$3:$H$10,H15)</f>
        <v>3</v>
      </c>
      <c r="L15" s="25" t="s">
        <v>29</v>
      </c>
      <c r="M15" s="25"/>
      <c r="N15" s="25"/>
    </row>
    <row r="16" spans="2:14" x14ac:dyDescent="0.35">
      <c r="B16" s="67"/>
      <c r="C16" s="67"/>
      <c r="E16" s="6" t="s">
        <v>11</v>
      </c>
      <c r="F16" s="6">
        <v>1</v>
      </c>
      <c r="H16" s="6" t="s">
        <v>11</v>
      </c>
      <c r="I16" s="6">
        <f>COUNTIFS($H$3:$H$10,H16)</f>
        <v>0</v>
      </c>
      <c r="L16" s="25"/>
      <c r="M16" s="25"/>
      <c r="N16" s="25"/>
    </row>
    <row r="17" spans="1:14" x14ac:dyDescent="0.35">
      <c r="B17" s="66"/>
      <c r="C17" s="66"/>
      <c r="E17" s="6" t="s">
        <v>11</v>
      </c>
      <c r="F17" s="6">
        <v>2</v>
      </c>
      <c r="H17" s="6" t="s">
        <v>1</v>
      </c>
      <c r="I17" s="6">
        <f>COUNTIFS($H$3:$H$10,H17)</f>
        <v>5</v>
      </c>
      <c r="L17" s="25"/>
      <c r="M17" s="25"/>
      <c r="N17" s="25"/>
    </row>
    <row r="18" spans="1:14" x14ac:dyDescent="0.35">
      <c r="B18" s="67"/>
      <c r="C18" s="67"/>
      <c r="E18" s="6" t="s">
        <v>10</v>
      </c>
      <c r="F18" s="6">
        <v>3</v>
      </c>
      <c r="L18" s="25"/>
      <c r="M18" s="25"/>
      <c r="N18" s="25"/>
    </row>
    <row r="19" spans="1:14" x14ac:dyDescent="0.35">
      <c r="E19" s="6" t="s">
        <v>10</v>
      </c>
      <c r="F19" s="6">
        <v>4</v>
      </c>
      <c r="L19" s="25"/>
      <c r="M19" s="25"/>
      <c r="N19" s="25"/>
    </row>
    <row r="20" spans="1:14" x14ac:dyDescent="0.35">
      <c r="B20" s="4" t="s">
        <v>23</v>
      </c>
      <c r="C20" s="4" t="s">
        <v>24</v>
      </c>
      <c r="E20" s="6" t="s">
        <v>10</v>
      </c>
      <c r="F20" s="6">
        <v>5</v>
      </c>
      <c r="L20" s="25"/>
      <c r="M20" s="25"/>
      <c r="N20" s="25"/>
    </row>
    <row r="21" spans="1:14" x14ac:dyDescent="0.35">
      <c r="B21" s="6" t="s">
        <v>21</v>
      </c>
      <c r="C21" s="14">
        <v>46022</v>
      </c>
      <c r="E21" s="6" t="s">
        <v>10</v>
      </c>
      <c r="F21" s="6">
        <v>6</v>
      </c>
      <c r="L21" s="25"/>
      <c r="M21" s="25"/>
      <c r="N21" s="25"/>
    </row>
    <row r="22" spans="1:14" x14ac:dyDescent="0.35">
      <c r="B22" s="6" t="s">
        <v>22</v>
      </c>
      <c r="C22" s="14">
        <v>45657</v>
      </c>
      <c r="E22" s="6" t="s">
        <v>10</v>
      </c>
      <c r="F22" s="6">
        <v>7</v>
      </c>
      <c r="L22" s="25"/>
      <c r="M22" s="25"/>
      <c r="N22" s="25"/>
    </row>
    <row r="23" spans="1:14" x14ac:dyDescent="0.35">
      <c r="E23" s="6" t="s">
        <v>10</v>
      </c>
      <c r="F23" s="6">
        <v>8</v>
      </c>
      <c r="L23" s="25"/>
      <c r="M23" s="25"/>
      <c r="N23" s="25"/>
    </row>
    <row r="24" spans="1:14" x14ac:dyDescent="0.35">
      <c r="L24" s="25"/>
      <c r="M24" s="25"/>
      <c r="N24" s="25"/>
    </row>
    <row r="25" spans="1:14" x14ac:dyDescent="0.35">
      <c r="L25" s="26" t="s">
        <v>30</v>
      </c>
      <c r="M25" s="26"/>
      <c r="N25" s="26"/>
    </row>
    <row r="28" spans="1:14" x14ac:dyDescent="0.35">
      <c r="A28" s="66"/>
      <c r="B28" s="66"/>
      <c r="C28" s="66"/>
      <c r="D28" s="66"/>
      <c r="E28" s="66"/>
      <c r="F28" s="66"/>
      <c r="G28" s="66"/>
      <c r="H28" s="66"/>
      <c r="I28" s="66"/>
      <c r="J28" s="66"/>
    </row>
    <row r="29" spans="1:14" x14ac:dyDescent="0.35">
      <c r="A29" s="66"/>
      <c r="B29" s="66"/>
      <c r="C29" s="72"/>
      <c r="D29" s="72"/>
      <c r="E29" s="73"/>
      <c r="F29" s="74"/>
      <c r="G29" s="75"/>
      <c r="H29" s="66"/>
      <c r="I29" s="66"/>
      <c r="J29" s="76"/>
      <c r="K29" s="65"/>
      <c r="L29" s="65"/>
    </row>
    <row r="30" spans="1:14" x14ac:dyDescent="0.35">
      <c r="A30" s="66"/>
      <c r="B30" s="66"/>
      <c r="C30" s="77"/>
      <c r="D30" s="77"/>
      <c r="E30" s="76"/>
      <c r="F30" s="78"/>
      <c r="G30" s="79"/>
      <c r="H30" s="66"/>
      <c r="I30" s="66"/>
      <c r="J30" s="77"/>
    </row>
    <row r="31" spans="1:14" x14ac:dyDescent="0.35">
      <c r="A31" s="66"/>
      <c r="B31" s="66"/>
      <c r="C31" s="77"/>
      <c r="D31" s="77"/>
      <c r="E31" s="76"/>
      <c r="F31" s="78"/>
      <c r="G31" s="79"/>
      <c r="H31" s="66"/>
      <c r="I31" s="66"/>
      <c r="J31" s="77"/>
    </row>
    <row r="32" spans="1:14" x14ac:dyDescent="0.35">
      <c r="A32" s="66"/>
      <c r="B32" s="66"/>
      <c r="C32" s="77"/>
      <c r="D32" s="77"/>
      <c r="E32" s="76"/>
      <c r="F32" s="78"/>
      <c r="G32" s="79"/>
      <c r="H32" s="66"/>
      <c r="I32" s="66"/>
      <c r="J32" s="77"/>
    </row>
    <row r="33" spans="1:10" x14ac:dyDescent="0.35">
      <c r="A33" s="66"/>
      <c r="B33" s="66"/>
      <c r="C33" s="72"/>
      <c r="D33" s="72"/>
      <c r="E33" s="73"/>
      <c r="F33" s="74"/>
      <c r="G33" s="75"/>
      <c r="H33" s="66"/>
      <c r="I33" s="66"/>
      <c r="J33" s="76"/>
    </row>
    <row r="34" spans="1:10" x14ac:dyDescent="0.35">
      <c r="A34" s="66"/>
      <c r="B34" s="66"/>
      <c r="C34" s="72"/>
      <c r="D34" s="72"/>
      <c r="E34" s="80"/>
      <c r="F34" s="74"/>
      <c r="G34" s="75"/>
      <c r="H34" s="66"/>
      <c r="I34" s="66"/>
      <c r="J34" s="76"/>
    </row>
    <row r="35" spans="1:10" x14ac:dyDescent="0.35">
      <c r="A35" s="66"/>
      <c r="B35" s="66"/>
      <c r="C35" s="72"/>
      <c r="D35" s="72"/>
      <c r="E35" s="73"/>
      <c r="F35" s="74"/>
      <c r="G35" s="75"/>
      <c r="H35" s="66"/>
      <c r="I35" s="66"/>
      <c r="J35" s="76"/>
    </row>
    <row r="36" spans="1:10" x14ac:dyDescent="0.35">
      <c r="A36" s="66"/>
      <c r="B36" s="66"/>
      <c r="C36" s="81"/>
      <c r="D36" s="81"/>
      <c r="E36" s="73"/>
      <c r="F36" s="74"/>
      <c r="G36" s="75"/>
      <c r="H36" s="66"/>
      <c r="I36" s="66"/>
      <c r="J36" s="76"/>
    </row>
    <row r="38" spans="1:10" x14ac:dyDescent="0.35">
      <c r="D38" s="62"/>
    </row>
  </sheetData>
  <mergeCells count="2">
    <mergeCell ref="L15:N24"/>
    <mergeCell ref="L25:N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33B590-D461-4447-B4D0-42749445C7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Income statement</vt:lpstr>
      <vt:lpstr>Balance Sheet</vt:lpstr>
      <vt:lpstr>Cashflow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EAZI</dc:creator>
  <cp:lastModifiedBy>EAZI</cp:lastModifiedBy>
  <dcterms:created xsi:type="dcterms:W3CDTF">2026-03-25T09:40:11Z</dcterms:created>
  <dcterms:modified xsi:type="dcterms:W3CDTF">2026-04-03T14:33:32Z</dcterms:modified>
</cp:coreProperties>
</file>